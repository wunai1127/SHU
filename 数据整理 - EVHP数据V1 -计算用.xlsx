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<sst xmlns="http://schemas.openxmlformats.org/spreadsheetml/2006/main" count="320" uniqueCount="117">
  <si>
    <t>No.</t>
  </si>
  <si>
    <t>Exp.</t>
  </si>
  <si>
    <t>Time</t>
  </si>
  <si>
    <t>Blood Gas - arterial</t>
  </si>
  <si>
    <t>Blood Gas - venous</t>
  </si>
  <si>
    <t>Hemodynamic parameters</t>
  </si>
  <si>
    <t>Metabolic parameters</t>
  </si>
  <si>
    <t>Cardiac functional parameters</t>
  </si>
  <si>
    <t>pig weight (kg)</t>
  </si>
  <si>
    <t>Heart weight (g)</t>
  </si>
  <si>
    <t>post evhp heart weight</t>
  </si>
  <si>
    <t>pH</t>
  </si>
  <si>
    <t>pO2</t>
  </si>
  <si>
    <t>Na+</t>
  </si>
  <si>
    <t>K+</t>
  </si>
  <si>
    <t>Ca++</t>
  </si>
  <si>
    <t>Cl-</t>
  </si>
  <si>
    <t>Glu</t>
  </si>
  <si>
    <t>Lac</t>
  </si>
  <si>
    <t>tHb</t>
  </si>
  <si>
    <t>HCO3-act</t>
  </si>
  <si>
    <t>O2SAT(est)</t>
  </si>
  <si>
    <t>MAP (mmHg)</t>
  </si>
  <si>
    <t>AoF (L/min)</t>
  </si>
  <si>
    <t>CVR(mmHg min/mL 100g)</t>
  </si>
  <si>
    <t>MVO2 (mL/min/100g)</t>
  </si>
  <si>
    <t>Lac Extrac</t>
  </si>
  <si>
    <t>ESPVR</t>
  </si>
  <si>
    <t>EDPVR</t>
  </si>
  <si>
    <t>PRSW</t>
  </si>
  <si>
    <t>dP/dtmax vs EdV</t>
  </si>
  <si>
    <t>Emax</t>
  </si>
  <si>
    <t>V0</t>
  </si>
  <si>
    <t>End diastolic pressure</t>
  </si>
  <si>
    <t>End systolic pressure</t>
  </si>
  <si>
    <t>Developed pressure</t>
  </si>
  <si>
    <t>Systolic ejection period</t>
  </si>
  <si>
    <t>Diastolic filling period</t>
  </si>
  <si>
    <t>Mean systolic pressure</t>
  </si>
  <si>
    <t>Mean diastolic pressure</t>
  </si>
  <si>
    <t>Contraction time</t>
  </si>
  <si>
    <t>Relaxation time</t>
  </si>
  <si>
    <t>Max dPdt</t>
  </si>
  <si>
    <t>Min dPdt</t>
  </si>
  <si>
    <t>Contractility index</t>
  </si>
  <si>
    <t>Time constant of relaxation</t>
  </si>
  <si>
    <t>End diastolic volume</t>
  </si>
  <si>
    <t>End systolic volume</t>
  </si>
  <si>
    <t>Stroke volume</t>
  </si>
  <si>
    <t>Cardiac output</t>
  </si>
  <si>
    <t>Ejection fraction</t>
  </si>
  <si>
    <t>Stroke work</t>
  </si>
  <si>
    <t>Maximal ventricular power</t>
  </si>
  <si>
    <t>Preload-adjusted maximal power</t>
  </si>
  <si>
    <t>Potential energy</t>
  </si>
  <si>
    <t>Pressure-volume area</t>
  </si>
  <si>
    <t>Efficiency</t>
  </si>
  <si>
    <t>Potential energy (MEC)</t>
  </si>
  <si>
    <t>Heart rate</t>
  </si>
  <si>
    <t>CI</t>
  </si>
  <si>
    <t>Success wean</t>
  </si>
  <si>
    <t>CO*</t>
  </si>
  <si>
    <t>CI*</t>
  </si>
  <si>
    <t>COMMENTS 1</t>
  </si>
  <si>
    <t>COMMENTS</t>
  </si>
  <si>
    <t>Pig 32</t>
  </si>
  <si>
    <t xml:space="preserve">30 min </t>
  </si>
  <si>
    <t xml:space="preserve">1 hour </t>
  </si>
  <si>
    <t>2 hour</t>
  </si>
  <si>
    <t>3 hour</t>
  </si>
  <si>
    <t>4 hour</t>
  </si>
  <si>
    <t xml:space="preserve">5 hour </t>
  </si>
  <si>
    <t>PostTX</t>
  </si>
  <si>
    <t>Pig 34</t>
  </si>
  <si>
    <t>5 hour</t>
  </si>
  <si>
    <t>Pig 36</t>
  </si>
  <si>
    <t>Pig 39</t>
  </si>
  <si>
    <t>Slope= 20.93</t>
  </si>
  <si>
    <t>Slope=  0.76</t>
  </si>
  <si>
    <t>Slope= 83.43</t>
  </si>
  <si>
    <t>Slope= 10.54</t>
  </si>
  <si>
    <t>V0= 87.50</t>
  </si>
  <si>
    <t>pig 43</t>
  </si>
  <si>
    <t>no 1 hour data</t>
  </si>
  <si>
    <t>Pig 47</t>
  </si>
  <si>
    <t xml:space="preserve">4 hour </t>
  </si>
  <si>
    <t>Pig 48</t>
  </si>
  <si>
    <t>Pig 49</t>
  </si>
  <si>
    <t>Pig 50</t>
  </si>
  <si>
    <t>Pig 51</t>
  </si>
  <si>
    <t>pig 12</t>
  </si>
  <si>
    <t>Pig 13</t>
  </si>
  <si>
    <t>this heart was bad from the start of evhp, fibrillated 2X and built edema</t>
  </si>
  <si>
    <t>Pig 18</t>
  </si>
  <si>
    <t>pig 19</t>
  </si>
  <si>
    <t>Pig 20</t>
  </si>
  <si>
    <t>pig 22</t>
  </si>
  <si>
    <t>pig 23</t>
  </si>
  <si>
    <t>5,73</t>
  </si>
  <si>
    <t>pig 24</t>
  </si>
  <si>
    <t>pig 26</t>
  </si>
  <si>
    <t>x</t>
  </si>
  <si>
    <t>pig 29</t>
  </si>
  <si>
    <t>pig 30</t>
  </si>
  <si>
    <t>pig 31</t>
  </si>
  <si>
    <t>0 min</t>
  </si>
  <si>
    <t>pig 33</t>
  </si>
  <si>
    <t xml:space="preserve">0 min </t>
  </si>
  <si>
    <t>pig 35</t>
  </si>
  <si>
    <t>pig 38</t>
  </si>
  <si>
    <t>pig 41</t>
  </si>
  <si>
    <t>pig 42</t>
  </si>
  <si>
    <t>pig 44</t>
  </si>
  <si>
    <t>pig 45</t>
  </si>
  <si>
    <t>pig 46</t>
  </si>
  <si>
    <t>pig 54</t>
  </si>
  <si>
    <t>pig 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</si>
</sst>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theme="4" tint="0.59999389629810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11" applyNumberFormat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1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7" borderId="1" xfId="0" applyFill="1" applyBorder="1"/>
    <xf numFmtId="0" fontId="0" fillId="0" borderId="3" xfId="0" applyBorder="1" applyAlignment="1">
      <alignment horizontal="center" vertical="center"/>
    </xf>
    <xf numFmtId="176" fontId="0" fillId="8" borderId="1" xfId="0" applyNumberFormat="1" applyFill="1" applyBorder="1"/>
    <xf numFmtId="0" fontId="0" fillId="9" borderId="1" xfId="0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0" fillId="0" borderId="4" xfId="0" applyBorder="1" applyAlignment="1">
      <alignment horizontal="center" vertical="center"/>
    </xf>
    <xf numFmtId="0" fontId="3" fillId="10" borderId="1" xfId="0" applyFont="1" applyFill="1" applyBorder="1"/>
    <xf numFmtId="0" fontId="0" fillId="0" borderId="1" xfId="0" applyBorder="1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1" fillId="0" borderId="1" xfId="0" applyFont="1" applyBorder="1"/>
    <xf numFmtId="0" fontId="0" fillId="8" borderId="1" xfId="0" applyFill="1" applyBorder="1"/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11" borderId="1" xfId="0" applyFill="1" applyBorder="1"/>
    <xf numFmtId="0" fontId="5" fillId="12" borderId="1" xfId="0" applyFont="1" applyFill="1" applyBorder="1"/>
    <xf numFmtId="0" fontId="0" fillId="13" borderId="1" xfId="0" applyFill="1" applyBorder="1" applyAlignment="1">
      <alignment horizontal="center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176" fontId="0" fillId="9" borderId="1" xfId="0" applyNumberForma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" xfId="0" applyFont="1" applyBorder="1"/>
    <xf numFmtId="0" fontId="1" fillId="4" borderId="1" xfId="0" applyFont="1" applyFill="1" applyBorder="1"/>
    <xf numFmtId="0" fontId="4" fillId="4" borderId="1" xfId="0" applyFont="1" applyFill="1" applyBorder="1"/>
    <xf numFmtId="0" fontId="0" fillId="0" borderId="0" xfId="0" applyAlignment="1">
      <alignment vertical="center"/>
    </xf>
    <xf numFmtId="0" fontId="6" fillId="4" borderId="1" xfId="0" applyFont="1" applyFill="1" applyBorder="1"/>
    <xf numFmtId="0" fontId="0" fillId="14" borderId="0" xfId="0" applyFill="1" applyAlignment="1">
      <alignment vertical="center"/>
    </xf>
    <xf numFmtId="0" fontId="0" fillId="2" borderId="0" xfId="0" applyFill="1" applyBorder="1"/>
    <xf numFmtId="0" fontId="0" fillId="0" borderId="0" xfId="0" applyBorder="1"/>
    <xf numFmtId="0" fontId="0" fillId="0" borderId="0" xfId="0" applyFill="1" applyAlignment="1">
      <alignment vertical="center"/>
    </xf>
    <xf numFmtId="0" fontId="3" fillId="3" borderId="1" xfId="0" applyFont="1" applyFill="1" applyBorder="1"/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04"/>
  <sheetViews>
    <sheetView tabSelected="1" zoomScale="85" zoomScaleNormal="85" workbookViewId="0">
      <pane xSplit="4" ySplit="2" topLeftCell="E21" activePane="bottomRight" state="frozen"/>
      <selection/>
      <selection pane="topRight"/>
      <selection pane="bottomLeft"/>
      <selection pane="bottomRight" activeCell="G32" sqref="G32"/>
    </sheetView>
  </sheetViews>
  <sheetFormatPr defaultColWidth="8.58333333333333" defaultRowHeight="14.25"/>
  <cols>
    <col min="1" max="5" width="8.58333333333333" style="3"/>
    <col min="6" max="7" width="11.25" style="3" customWidth="1"/>
    <col min="8" max="15" width="8.58333333333333" style="3"/>
    <col min="16" max="17" width="10.25" style="3" customWidth="1"/>
    <col min="18" max="31" width="8.58333333333333" style="3"/>
    <col min="32" max="32" width="21.3333333333333" style="3" customWidth="1"/>
    <col min="33" max="34" width="8.58333333333333" style="3"/>
    <col min="35" max="36" width="8.58333333333333" style="4"/>
    <col min="37" max="37" width="7.58333333333333" style="4" customWidth="1"/>
    <col min="38" max="40" width="8.58333333333333" style="4"/>
    <col min="41" max="69" width="8.58333333333333" style="3"/>
    <col min="70" max="71" width="8.58333333333333" style="5"/>
    <col min="72" max="72" width="17.5833333333333" style="3" customWidth="1"/>
    <col min="73" max="73" width="30.8333333333333" style="3" customWidth="1"/>
    <col min="74" max="16384" width="8.58333333333333" style="3"/>
  </cols>
  <sheetData>
    <row r="1" spans="1:67">
      <c r="A1" s="3" t="s">
        <v>0</v>
      </c>
      <c r="C1" s="3" t="s">
        <v>1</v>
      </c>
      <c r="D1" s="3" t="s">
        <v>2</v>
      </c>
      <c r="H1" s="6" t="s">
        <v>3</v>
      </c>
      <c r="I1" s="6"/>
      <c r="J1" s="6"/>
      <c r="K1" s="6"/>
      <c r="L1" s="6"/>
      <c r="M1" s="6"/>
      <c r="N1" s="6"/>
      <c r="O1" s="6"/>
      <c r="P1" s="6"/>
      <c r="Q1" s="6"/>
      <c r="R1" s="6"/>
      <c r="S1" s="26" t="s">
        <v>4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31" t="s">
        <v>5</v>
      </c>
      <c r="AE1" s="32"/>
      <c r="AF1" s="33"/>
      <c r="AG1" s="31" t="s">
        <v>6</v>
      </c>
      <c r="AH1" s="32"/>
      <c r="AI1" s="31" t="s">
        <v>7</v>
      </c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3"/>
    </row>
    <row r="2" spans="5:73">
      <c r="E2" s="3" t="s">
        <v>8</v>
      </c>
      <c r="F2" s="3" t="s">
        <v>9</v>
      </c>
      <c r="G2" s="3" t="s">
        <v>10</v>
      </c>
      <c r="H2" s="7" t="s">
        <v>11</v>
      </c>
      <c r="I2" s="22" t="s">
        <v>12</v>
      </c>
      <c r="J2" s="7" t="s">
        <v>13</v>
      </c>
      <c r="K2" s="23" t="s">
        <v>14</v>
      </c>
      <c r="L2" s="23" t="s">
        <v>15</v>
      </c>
      <c r="M2" s="22" t="s">
        <v>16</v>
      </c>
      <c r="N2" s="7" t="s">
        <v>17</v>
      </c>
      <c r="O2" s="23" t="s">
        <v>18</v>
      </c>
      <c r="P2" s="22" t="s">
        <v>19</v>
      </c>
      <c r="Q2" s="7" t="s">
        <v>20</v>
      </c>
      <c r="R2" s="22" t="s">
        <v>21</v>
      </c>
      <c r="S2" s="27" t="s">
        <v>11</v>
      </c>
      <c r="T2" s="28" t="s">
        <v>12</v>
      </c>
      <c r="U2" s="27" t="s">
        <v>13</v>
      </c>
      <c r="V2" s="29" t="s">
        <v>14</v>
      </c>
      <c r="W2" s="29" t="s">
        <v>15</v>
      </c>
      <c r="X2" s="28" t="s">
        <v>16</v>
      </c>
      <c r="Y2" s="27" t="s">
        <v>17</v>
      </c>
      <c r="Z2" s="29" t="s">
        <v>18</v>
      </c>
      <c r="AA2" s="28" t="s">
        <v>19</v>
      </c>
      <c r="AB2" s="27" t="s">
        <v>20</v>
      </c>
      <c r="AC2" s="28" t="s">
        <v>21</v>
      </c>
      <c r="AD2" s="3" t="s">
        <v>22</v>
      </c>
      <c r="AE2" s="3" t="s">
        <v>23</v>
      </c>
      <c r="AF2" s="20" t="s">
        <v>24</v>
      </c>
      <c r="AG2" s="34" t="s">
        <v>25</v>
      </c>
      <c r="AH2" s="34" t="s">
        <v>26</v>
      </c>
      <c r="AI2" s="35" t="s">
        <v>27</v>
      </c>
      <c r="AJ2" s="36" t="s">
        <v>28</v>
      </c>
      <c r="AK2" s="36" t="s">
        <v>29</v>
      </c>
      <c r="AL2" s="36" t="s">
        <v>30</v>
      </c>
      <c r="AM2" s="36" t="s">
        <v>31</v>
      </c>
      <c r="AN2" s="36" t="s">
        <v>32</v>
      </c>
      <c r="AO2" s="3" t="s">
        <v>33</v>
      </c>
      <c r="AP2" s="3" t="s">
        <v>34</v>
      </c>
      <c r="AQ2" s="3" t="s">
        <v>35</v>
      </c>
      <c r="AR2" s="3" t="s">
        <v>36</v>
      </c>
      <c r="AS2" s="3" t="s">
        <v>37</v>
      </c>
      <c r="AT2" s="3" t="s">
        <v>38</v>
      </c>
      <c r="AU2" s="3" t="s">
        <v>39</v>
      </c>
      <c r="AV2" s="3" t="s">
        <v>40</v>
      </c>
      <c r="AW2" s="3" t="s">
        <v>41</v>
      </c>
      <c r="AX2" s="20" t="s">
        <v>42</v>
      </c>
      <c r="AY2" s="34" t="s">
        <v>43</v>
      </c>
      <c r="AZ2" s="3" t="s">
        <v>44</v>
      </c>
      <c r="BA2" s="20" t="s">
        <v>45</v>
      </c>
      <c r="BB2" s="3" t="s">
        <v>46</v>
      </c>
      <c r="BC2" s="3" t="s">
        <v>47</v>
      </c>
      <c r="BD2" s="3" t="s">
        <v>48</v>
      </c>
      <c r="BE2" s="20" t="s">
        <v>49</v>
      </c>
      <c r="BF2" s="34" t="s">
        <v>50</v>
      </c>
      <c r="BG2" s="34" t="s">
        <v>51</v>
      </c>
      <c r="BH2" s="3" t="s">
        <v>52</v>
      </c>
      <c r="BI2" s="3" t="s">
        <v>53</v>
      </c>
      <c r="BJ2" s="39" t="s">
        <v>54</v>
      </c>
      <c r="BK2" s="39" t="s">
        <v>55</v>
      </c>
      <c r="BL2" s="39" t="s">
        <v>56</v>
      </c>
      <c r="BM2" s="3" t="s">
        <v>57</v>
      </c>
      <c r="BN2" s="3" t="s">
        <v>58</v>
      </c>
      <c r="BO2" s="20" t="s">
        <v>59</v>
      </c>
      <c r="BP2" s="3" t="s">
        <v>60</v>
      </c>
      <c r="BR2" s="5" t="s">
        <v>61</v>
      </c>
      <c r="BS2" s="5" t="s">
        <v>62</v>
      </c>
      <c r="BT2" s="3" t="s">
        <v>63</v>
      </c>
      <c r="BU2" s="3" t="s">
        <v>64</v>
      </c>
    </row>
    <row r="3" spans="1:67">
      <c r="A3" s="8">
        <v>1</v>
      </c>
      <c r="B3" s="8"/>
      <c r="C3" s="8" t="s">
        <v>65</v>
      </c>
      <c r="D3" s="9" t="s">
        <v>66</v>
      </c>
      <c r="E3" s="3">
        <v>52</v>
      </c>
      <c r="F3" s="3">
        <v>233</v>
      </c>
      <c r="H3" s="3">
        <v>7.394</v>
      </c>
      <c r="I3" s="3">
        <v>270.7</v>
      </c>
      <c r="J3" s="3">
        <v>139.6</v>
      </c>
      <c r="K3" s="3">
        <v>4.03</v>
      </c>
      <c r="L3" s="3">
        <v>1.13</v>
      </c>
      <c r="M3" s="3">
        <v>109</v>
      </c>
      <c r="N3" s="3">
        <v>6.1</v>
      </c>
      <c r="O3" s="3">
        <v>2.44</v>
      </c>
      <c r="P3" s="3">
        <v>8.7</v>
      </c>
      <c r="Q3" s="3">
        <v>19.5</v>
      </c>
      <c r="R3" s="3">
        <v>99.6</v>
      </c>
      <c r="S3" s="3">
        <v>7.382</v>
      </c>
      <c r="T3" s="3">
        <v>121.4</v>
      </c>
      <c r="U3" s="3">
        <v>138.1</v>
      </c>
      <c r="V3" s="3">
        <v>3.97</v>
      </c>
      <c r="W3" s="3">
        <v>1.13</v>
      </c>
      <c r="X3" s="3">
        <v>108</v>
      </c>
      <c r="Y3" s="3">
        <v>6</v>
      </c>
      <c r="Z3" s="3">
        <v>2.33</v>
      </c>
      <c r="AA3" s="3">
        <v>8.7</v>
      </c>
      <c r="AB3" s="3">
        <v>19.1</v>
      </c>
      <c r="AC3" s="3">
        <v>98.4</v>
      </c>
      <c r="AD3" s="3">
        <v>49</v>
      </c>
      <c r="AE3" s="3">
        <v>0.85</v>
      </c>
      <c r="AF3" s="3">
        <f>AD3/AE3/1000/F3*100</f>
        <v>0.0247412269628882</v>
      </c>
      <c r="AG3" s="3">
        <f>AE3*1000*((1.34*P3/10*R3/100+0.0031*I3)-(1.34*AA3/10*AC3/100+0.0031*T3))/(F3/100)/100</f>
        <v>1.73947064377682</v>
      </c>
      <c r="AH3" s="3">
        <f>Z3-O3</f>
        <v>-0.11</v>
      </c>
      <c r="BO3" s="3">
        <f t="shared" ref="BO3:BO66" si="0">BE3/(0.0734*(POWER(F3,0.656)))/1000</f>
        <v>0</v>
      </c>
    </row>
    <row r="4" spans="1:71">
      <c r="A4" s="10"/>
      <c r="B4" s="10"/>
      <c r="C4" s="10"/>
      <c r="D4" s="9" t="s">
        <v>67</v>
      </c>
      <c r="E4" s="3">
        <v>52</v>
      </c>
      <c r="F4" s="3">
        <v>233</v>
      </c>
      <c r="H4" s="11">
        <v>7.365</v>
      </c>
      <c r="I4" s="21">
        <v>255</v>
      </c>
      <c r="J4" s="21">
        <v>137.9</v>
      </c>
      <c r="K4" s="21">
        <v>3.47</v>
      </c>
      <c r="L4" s="21">
        <v>1.42</v>
      </c>
      <c r="M4" s="21">
        <v>107</v>
      </c>
      <c r="N4" s="21">
        <v>12</v>
      </c>
      <c r="O4" s="21">
        <v>1.97</v>
      </c>
      <c r="P4" s="21">
        <v>9</v>
      </c>
      <c r="Q4" s="21">
        <v>18.5</v>
      </c>
      <c r="R4" s="21">
        <v>99.6</v>
      </c>
      <c r="S4" s="3">
        <v>7.361</v>
      </c>
      <c r="T4" s="3">
        <v>114</v>
      </c>
      <c r="U4" s="12">
        <v>142.5</v>
      </c>
      <c r="V4" s="12">
        <v>3.46</v>
      </c>
      <c r="W4" s="12">
        <v>1.42</v>
      </c>
      <c r="X4" s="12">
        <v>113</v>
      </c>
      <c r="Y4" s="12">
        <v>12.4</v>
      </c>
      <c r="Z4" s="12">
        <v>2.12</v>
      </c>
      <c r="AA4" s="21">
        <v>9</v>
      </c>
      <c r="AB4" s="3">
        <v>19.4</v>
      </c>
      <c r="AC4" s="12">
        <v>98.1</v>
      </c>
      <c r="AD4" s="3">
        <v>65</v>
      </c>
      <c r="AE4" s="3">
        <v>1.24</v>
      </c>
      <c r="AF4" s="3">
        <f t="shared" ref="AF4:AF67" si="1">AD4/AE4/1000/F4*100</f>
        <v>0.0224975771839956</v>
      </c>
      <c r="AG4" s="3">
        <f t="shared" ref="AG4:AG67" si="2">AE4*1000*((1.34*P4/10*R4/100+0.0031*I4)-(1.34*AA4/10*AC4/100+0.0031*T4))/(F4/100)/100</f>
        <v>2.4224703862661</v>
      </c>
      <c r="AH4" s="3">
        <f t="shared" ref="AH4:AH67" si="3">Z4-O4</f>
        <v>0.15</v>
      </c>
      <c r="AI4" s="4">
        <v>4.72</v>
      </c>
      <c r="AJ4" s="4">
        <v>0.61</v>
      </c>
      <c r="AK4" s="4">
        <v>88.34</v>
      </c>
      <c r="AL4" s="4">
        <v>8.92</v>
      </c>
      <c r="AM4" s="4">
        <v>11.25</v>
      </c>
      <c r="AN4" s="4">
        <v>46.55</v>
      </c>
      <c r="AO4" s="3">
        <v>8</v>
      </c>
      <c r="AP4" s="3">
        <v>4</v>
      </c>
      <c r="AQ4" s="3">
        <v>119</v>
      </c>
      <c r="AR4" s="3">
        <v>263</v>
      </c>
      <c r="AS4" s="3">
        <v>364</v>
      </c>
      <c r="AT4" s="3">
        <v>100</v>
      </c>
      <c r="AU4" s="3">
        <v>5</v>
      </c>
      <c r="AV4" s="3">
        <v>51</v>
      </c>
      <c r="AW4" s="3">
        <v>132</v>
      </c>
      <c r="AX4" s="3">
        <v>1121</v>
      </c>
      <c r="AY4" s="3">
        <v>-1009</v>
      </c>
      <c r="AZ4" s="3">
        <v>35</v>
      </c>
      <c r="BA4" s="3">
        <v>37</v>
      </c>
      <c r="BB4" s="3">
        <v>89</v>
      </c>
      <c r="BC4" s="3">
        <v>80</v>
      </c>
      <c r="BD4" s="3">
        <v>19</v>
      </c>
      <c r="BE4" s="3">
        <v>1407</v>
      </c>
      <c r="BF4" s="3">
        <v>21</v>
      </c>
      <c r="BG4" s="3">
        <v>818</v>
      </c>
      <c r="BH4" s="3">
        <v>6094</v>
      </c>
      <c r="BI4" s="3">
        <v>1</v>
      </c>
      <c r="BJ4" s="3">
        <v>0</v>
      </c>
      <c r="BK4" s="3">
        <v>0</v>
      </c>
      <c r="BL4" s="3">
        <v>0</v>
      </c>
      <c r="BM4" s="3">
        <v>1207</v>
      </c>
      <c r="BN4" s="3">
        <v>74</v>
      </c>
      <c r="BO4" s="3">
        <f t="shared" si="0"/>
        <v>0.5365529084114</v>
      </c>
      <c r="BS4" s="5">
        <f>BR4/(0.0734*(POWER(F4,0.656)))</f>
        <v>0</v>
      </c>
    </row>
    <row r="5" spans="1:71">
      <c r="A5" s="10"/>
      <c r="B5" s="10"/>
      <c r="C5" s="10"/>
      <c r="D5" s="9" t="s">
        <v>68</v>
      </c>
      <c r="E5" s="3">
        <v>52</v>
      </c>
      <c r="F5" s="3">
        <v>233</v>
      </c>
      <c r="H5" s="12">
        <v>7.404</v>
      </c>
      <c r="I5" s="12">
        <v>285.5</v>
      </c>
      <c r="J5" s="12">
        <v>137.3</v>
      </c>
      <c r="K5" s="12">
        <v>3.66</v>
      </c>
      <c r="L5" s="12">
        <v>1.39</v>
      </c>
      <c r="M5" s="12">
        <v>108</v>
      </c>
      <c r="N5" s="12">
        <v>11.4</v>
      </c>
      <c r="O5" s="12">
        <v>1.52</v>
      </c>
      <c r="P5" s="24">
        <v>9</v>
      </c>
      <c r="Q5" s="12">
        <v>20.2</v>
      </c>
      <c r="R5" s="12">
        <v>99.7</v>
      </c>
      <c r="S5" s="30">
        <v>7.402</v>
      </c>
      <c r="T5" s="12">
        <v>146.3</v>
      </c>
      <c r="U5" s="12">
        <v>137.9</v>
      </c>
      <c r="V5" s="12">
        <v>3.54</v>
      </c>
      <c r="W5" s="12">
        <v>1.39</v>
      </c>
      <c r="X5" s="12">
        <v>107</v>
      </c>
      <c r="Y5" s="12">
        <v>11.4</v>
      </c>
      <c r="Z5" s="12">
        <v>1.56</v>
      </c>
      <c r="AA5" s="12">
        <v>9</v>
      </c>
      <c r="AB5" s="12">
        <v>20.5</v>
      </c>
      <c r="AC5" s="12">
        <v>98.9</v>
      </c>
      <c r="AD5" s="12">
        <v>53</v>
      </c>
      <c r="AE5" s="12">
        <v>1</v>
      </c>
      <c r="AF5" s="3">
        <f t="shared" si="1"/>
        <v>0.0227467811158798</v>
      </c>
      <c r="AG5" s="3">
        <f t="shared" si="2"/>
        <v>1.89342489270386</v>
      </c>
      <c r="AH5" s="3">
        <f t="shared" si="3"/>
        <v>0.04</v>
      </c>
      <c r="BO5" s="3">
        <f t="shared" si="0"/>
        <v>0</v>
      </c>
      <c r="BS5" s="5">
        <f>BR5/(0.0734*(POWER(F5,0.656)))</f>
        <v>0</v>
      </c>
    </row>
    <row r="6" spans="1:71">
      <c r="A6" s="10"/>
      <c r="B6" s="10"/>
      <c r="C6" s="10"/>
      <c r="D6" s="9" t="s">
        <v>69</v>
      </c>
      <c r="E6" s="3">
        <v>52</v>
      </c>
      <c r="F6" s="3">
        <v>233</v>
      </c>
      <c r="H6" s="3">
        <v>7.345</v>
      </c>
      <c r="I6" s="3">
        <v>319</v>
      </c>
      <c r="J6" s="12">
        <v>139.1</v>
      </c>
      <c r="K6" s="12">
        <v>3.83</v>
      </c>
      <c r="L6" s="12">
        <v>1.27</v>
      </c>
      <c r="M6" s="12">
        <v>109</v>
      </c>
      <c r="N6" s="12">
        <v>12.6</v>
      </c>
      <c r="O6" s="12">
        <v>1.22</v>
      </c>
      <c r="P6" s="3">
        <v>9.1</v>
      </c>
      <c r="Q6" s="3">
        <v>20.2</v>
      </c>
      <c r="R6" s="12">
        <v>99.7</v>
      </c>
      <c r="S6" s="3">
        <v>7.329</v>
      </c>
      <c r="T6" s="3">
        <v>136.3</v>
      </c>
      <c r="U6" s="12">
        <v>139.8</v>
      </c>
      <c r="V6" s="12">
        <v>3.85</v>
      </c>
      <c r="W6" s="12">
        <v>1.26</v>
      </c>
      <c r="X6" s="12">
        <v>110</v>
      </c>
      <c r="Y6" s="12">
        <v>12.7</v>
      </c>
      <c r="Z6" s="12">
        <v>1.28</v>
      </c>
      <c r="AA6" s="3">
        <v>9.1</v>
      </c>
      <c r="AB6" s="3">
        <v>21.5</v>
      </c>
      <c r="AC6" s="12">
        <v>98.5</v>
      </c>
      <c r="AD6" s="3">
        <v>51</v>
      </c>
      <c r="AE6" s="3">
        <v>1.05</v>
      </c>
      <c r="AF6" s="3">
        <f t="shared" si="1"/>
        <v>0.0208461066830166</v>
      </c>
      <c r="AG6" s="3">
        <f t="shared" si="2"/>
        <v>2.61825296137339</v>
      </c>
      <c r="AH6" s="3">
        <f t="shared" si="3"/>
        <v>0.0600000000000001</v>
      </c>
      <c r="BO6" s="3">
        <f t="shared" si="0"/>
        <v>0</v>
      </c>
      <c r="BS6" s="5">
        <f>BR6/(0.0734*(POWER(F6,0.656)))</f>
        <v>0</v>
      </c>
    </row>
    <row r="7" spans="1:71">
      <c r="A7" s="10"/>
      <c r="B7" s="10"/>
      <c r="C7" s="10"/>
      <c r="D7" s="13" t="s">
        <v>70</v>
      </c>
      <c r="E7" s="3">
        <v>52</v>
      </c>
      <c r="F7" s="3">
        <v>233</v>
      </c>
      <c r="H7" s="3">
        <v>7.399</v>
      </c>
      <c r="I7" s="3">
        <v>282.9</v>
      </c>
      <c r="J7" s="12">
        <v>139.7</v>
      </c>
      <c r="K7" s="12">
        <v>4.22</v>
      </c>
      <c r="L7" s="12">
        <v>1.21</v>
      </c>
      <c r="M7" s="12">
        <v>110</v>
      </c>
      <c r="N7" s="12">
        <v>13.5</v>
      </c>
      <c r="O7" s="12">
        <v>2.45</v>
      </c>
      <c r="P7" s="3">
        <v>9.2</v>
      </c>
      <c r="Q7" s="3">
        <v>18.7</v>
      </c>
      <c r="R7" s="12">
        <v>99.7</v>
      </c>
      <c r="S7" s="3">
        <v>7.376</v>
      </c>
      <c r="T7" s="3">
        <v>157.6</v>
      </c>
      <c r="U7" s="12">
        <v>141.2</v>
      </c>
      <c r="V7" s="12">
        <v>4.24</v>
      </c>
      <c r="W7" s="12">
        <v>1.19</v>
      </c>
      <c r="X7" s="12">
        <v>111</v>
      </c>
      <c r="Y7" s="12">
        <v>13.6</v>
      </c>
      <c r="Z7" s="12">
        <v>2.44</v>
      </c>
      <c r="AA7" s="3">
        <v>9.2</v>
      </c>
      <c r="AB7" s="3">
        <v>19</v>
      </c>
      <c r="AC7" s="12">
        <v>99</v>
      </c>
      <c r="AD7" s="3">
        <v>52</v>
      </c>
      <c r="AE7" s="3">
        <v>1.1</v>
      </c>
      <c r="AF7" s="3">
        <f t="shared" si="1"/>
        <v>0.0202887241513851</v>
      </c>
      <c r="AG7" s="3">
        <f t="shared" si="2"/>
        <v>1.87453030042919</v>
      </c>
      <c r="AH7" s="3">
        <f t="shared" si="3"/>
        <v>-0.0100000000000002</v>
      </c>
      <c r="BO7" s="3">
        <f t="shared" si="0"/>
        <v>0</v>
      </c>
      <c r="BS7" s="5">
        <f>BR7/(0.0734*(POWER(F7,0.656)))</f>
        <v>0</v>
      </c>
    </row>
    <row r="8" spans="1:67">
      <c r="A8" s="10"/>
      <c r="B8" s="10"/>
      <c r="C8" s="10"/>
      <c r="D8" s="14" t="s">
        <v>71</v>
      </c>
      <c r="E8" s="3">
        <v>52</v>
      </c>
      <c r="F8" s="3">
        <v>233</v>
      </c>
      <c r="G8" s="3">
        <v>309</v>
      </c>
      <c r="H8" s="3">
        <v>7.381</v>
      </c>
      <c r="I8" s="3">
        <v>257.4</v>
      </c>
      <c r="J8" s="12">
        <v>142.4</v>
      </c>
      <c r="K8" s="12">
        <v>4.37</v>
      </c>
      <c r="L8" s="12">
        <v>1.16</v>
      </c>
      <c r="M8" s="12">
        <v>109</v>
      </c>
      <c r="N8" s="12">
        <v>14.3</v>
      </c>
      <c r="O8" s="12">
        <v>2.96</v>
      </c>
      <c r="P8" s="3">
        <v>9.1</v>
      </c>
      <c r="Q8" s="3">
        <v>17.3</v>
      </c>
      <c r="R8" s="12">
        <v>99.6</v>
      </c>
      <c r="S8" s="3">
        <v>7.361</v>
      </c>
      <c r="T8" s="3">
        <v>155.1</v>
      </c>
      <c r="U8" s="12">
        <v>143.6</v>
      </c>
      <c r="V8" s="12">
        <v>4.4</v>
      </c>
      <c r="W8" s="12">
        <v>1.19</v>
      </c>
      <c r="X8" s="12">
        <v>110</v>
      </c>
      <c r="Y8" s="12">
        <v>13.6</v>
      </c>
      <c r="Z8" s="12">
        <v>2.87</v>
      </c>
      <c r="AA8" s="3">
        <v>9.1</v>
      </c>
      <c r="AB8" s="3">
        <v>16.9</v>
      </c>
      <c r="AC8" s="12">
        <v>99</v>
      </c>
      <c r="AD8" s="3">
        <v>54</v>
      </c>
      <c r="AE8" s="3">
        <v>0.97</v>
      </c>
      <c r="AF8" s="3">
        <f t="shared" si="1"/>
        <v>0.0238927481084908</v>
      </c>
      <c r="AG8" s="3">
        <f t="shared" si="2"/>
        <v>1.35069960515021</v>
      </c>
      <c r="AH8" s="3">
        <f t="shared" si="3"/>
        <v>-0.0899999999999999</v>
      </c>
      <c r="AI8" s="37">
        <v>5.11</v>
      </c>
      <c r="AJ8" s="37">
        <v>0.64</v>
      </c>
      <c r="AK8" s="37">
        <v>2.34</v>
      </c>
      <c r="AL8" s="37">
        <v>-31.98</v>
      </c>
      <c r="AM8" s="37">
        <v>7.72</v>
      </c>
      <c r="AN8" s="37">
        <v>115.06</v>
      </c>
      <c r="AO8" s="3">
        <v>14</v>
      </c>
      <c r="AP8" s="3">
        <v>64</v>
      </c>
      <c r="AQ8" s="3">
        <v>76</v>
      </c>
      <c r="AR8" s="3">
        <v>233</v>
      </c>
      <c r="AS8" s="3">
        <v>155</v>
      </c>
      <c r="AT8" s="3">
        <v>75</v>
      </c>
      <c r="AU8" s="3">
        <v>13</v>
      </c>
      <c r="AV8" s="3">
        <v>43</v>
      </c>
      <c r="AW8" s="3">
        <v>113</v>
      </c>
      <c r="AX8" s="3">
        <v>974</v>
      </c>
      <c r="AY8" s="3">
        <v>-637</v>
      </c>
      <c r="AZ8" s="3">
        <v>42</v>
      </c>
      <c r="BA8" s="3">
        <v>59</v>
      </c>
      <c r="BB8" s="3">
        <v>110</v>
      </c>
      <c r="BC8" s="3">
        <v>94</v>
      </c>
      <c r="BD8" s="3">
        <v>17</v>
      </c>
      <c r="BE8" s="3">
        <v>1873</v>
      </c>
      <c r="BF8" s="3">
        <v>15</v>
      </c>
      <c r="BG8" s="3">
        <v>462</v>
      </c>
      <c r="BH8" s="3">
        <v>4847</v>
      </c>
      <c r="BI8" s="3">
        <v>0</v>
      </c>
      <c r="BJ8" s="3">
        <v>0</v>
      </c>
      <c r="BK8" s="3">
        <v>0</v>
      </c>
      <c r="BL8" s="3">
        <v>0</v>
      </c>
      <c r="BM8" s="3">
        <v>885</v>
      </c>
      <c r="BN8" s="3">
        <v>111</v>
      </c>
      <c r="BO8" s="3">
        <f t="shared" si="0"/>
        <v>0.714259841829817</v>
      </c>
    </row>
    <row r="9" spans="1:71">
      <c r="A9" s="15"/>
      <c r="B9" s="15"/>
      <c r="C9" s="15"/>
      <c r="D9" s="16" t="s">
        <v>72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F9" s="3" t="e">
        <f t="shared" si="1"/>
        <v>#DIV/0!</v>
      </c>
      <c r="AG9" s="3" t="e">
        <f t="shared" si="2"/>
        <v>#DIV/0!</v>
      </c>
      <c r="AH9" s="3">
        <f t="shared" si="3"/>
        <v>0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3" t="e">
        <f t="shared" si="0"/>
        <v>#DIV/0!</v>
      </c>
      <c r="BS9" s="5" t="e">
        <f t="shared" ref="BS9:BS14" si="4">BR9/(0.0734*(POWER(F9,0.656)))</f>
        <v>#DIV/0!</v>
      </c>
    </row>
    <row r="10" spans="1:71">
      <c r="A10" s="8">
        <v>2</v>
      </c>
      <c r="B10" s="8"/>
      <c r="C10" s="8" t="s">
        <v>73</v>
      </c>
      <c r="D10" s="9" t="s">
        <v>66</v>
      </c>
      <c r="E10" s="3">
        <v>49.4</v>
      </c>
      <c r="F10" s="1">
        <v>243</v>
      </c>
      <c r="H10" s="3">
        <v>7.373</v>
      </c>
      <c r="I10" s="3">
        <v>239.1</v>
      </c>
      <c r="J10" s="3">
        <v>138.9</v>
      </c>
      <c r="K10" s="3">
        <v>3.78</v>
      </c>
      <c r="L10" s="3">
        <v>1.03</v>
      </c>
      <c r="M10" s="3">
        <v>110</v>
      </c>
      <c r="N10" s="3">
        <v>4.1</v>
      </c>
      <c r="O10" s="3">
        <v>1.11</v>
      </c>
      <c r="P10" s="3">
        <v>9.7</v>
      </c>
      <c r="Q10" s="3">
        <v>19.9</v>
      </c>
      <c r="R10" s="3">
        <v>99.5</v>
      </c>
      <c r="S10" s="3">
        <v>7.376</v>
      </c>
      <c r="T10" s="3">
        <v>86.6</v>
      </c>
      <c r="U10" s="3">
        <v>139.5</v>
      </c>
      <c r="V10" s="3">
        <v>3.63</v>
      </c>
      <c r="W10" s="3">
        <v>0.98</v>
      </c>
      <c r="X10" s="3">
        <v>112</v>
      </c>
      <c r="Y10" s="3">
        <v>4</v>
      </c>
      <c r="Z10" s="3">
        <v>1.13</v>
      </c>
      <c r="AA10" s="3">
        <v>9.7</v>
      </c>
      <c r="AB10" s="3">
        <v>20.1</v>
      </c>
      <c r="AC10" s="3">
        <v>96.5</v>
      </c>
      <c r="AD10" s="3">
        <v>52</v>
      </c>
      <c r="AE10" s="3">
        <v>0.62</v>
      </c>
      <c r="AF10" s="3">
        <f t="shared" si="1"/>
        <v>0.0345148015398911</v>
      </c>
      <c r="AG10" s="3">
        <f t="shared" si="2"/>
        <v>1.30568427983539</v>
      </c>
      <c r="AH10" s="3">
        <f t="shared" si="3"/>
        <v>0.0199999999999998</v>
      </c>
      <c r="BO10" s="3">
        <f t="shared" si="0"/>
        <v>0</v>
      </c>
      <c r="BS10" s="5">
        <f t="shared" si="4"/>
        <v>0</v>
      </c>
    </row>
    <row r="11" spans="1:71">
      <c r="A11" s="10"/>
      <c r="B11" s="10"/>
      <c r="C11" s="10"/>
      <c r="D11" s="9" t="s">
        <v>67</v>
      </c>
      <c r="E11" s="3">
        <v>49.4</v>
      </c>
      <c r="F11" s="1">
        <v>243</v>
      </c>
      <c r="H11" s="11">
        <v>7.249</v>
      </c>
      <c r="I11" s="21">
        <v>157</v>
      </c>
      <c r="J11" s="21">
        <v>130.8</v>
      </c>
      <c r="K11" s="21">
        <v>3.5</v>
      </c>
      <c r="L11" s="21">
        <v>11.42</v>
      </c>
      <c r="M11" s="21">
        <v>104</v>
      </c>
      <c r="N11" s="21">
        <v>20.9</v>
      </c>
      <c r="O11" s="21">
        <v>0.71</v>
      </c>
      <c r="P11" s="3">
        <v>9.7</v>
      </c>
      <c r="Q11" s="21">
        <v>20.6</v>
      </c>
      <c r="R11" s="21">
        <v>98.7</v>
      </c>
      <c r="S11" s="3">
        <v>7.243</v>
      </c>
      <c r="T11" s="3">
        <v>74.9</v>
      </c>
      <c r="U11" s="21">
        <v>130.8</v>
      </c>
      <c r="V11" s="12">
        <v>3.49</v>
      </c>
      <c r="W11" s="12">
        <v>1.42</v>
      </c>
      <c r="X11" s="12">
        <v>104</v>
      </c>
      <c r="Y11" s="12">
        <v>20.7</v>
      </c>
      <c r="Z11" s="12">
        <v>0.65</v>
      </c>
      <c r="AA11" s="3">
        <v>9.7</v>
      </c>
      <c r="AB11" s="3">
        <v>20.7</v>
      </c>
      <c r="AC11" s="12">
        <v>92.5</v>
      </c>
      <c r="AD11" s="3">
        <v>64</v>
      </c>
      <c r="AE11" s="3">
        <v>0.83</v>
      </c>
      <c r="AF11" s="3">
        <f t="shared" si="1"/>
        <v>0.0317318657345431</v>
      </c>
      <c r="AG11" s="3">
        <f t="shared" si="2"/>
        <v>1.14457204938272</v>
      </c>
      <c r="AH11" s="3">
        <f t="shared" si="3"/>
        <v>-0.0599999999999999</v>
      </c>
      <c r="AI11" s="4">
        <v>3.88</v>
      </c>
      <c r="AJ11" s="4">
        <v>0.04</v>
      </c>
      <c r="AK11" s="4">
        <v>34.52</v>
      </c>
      <c r="AL11" s="4">
        <v>12.43</v>
      </c>
      <c r="AM11" s="4">
        <v>6.21</v>
      </c>
      <c r="AN11" s="4">
        <v>94.13</v>
      </c>
      <c r="AO11" s="37">
        <v>14</v>
      </c>
      <c r="AP11" s="37">
        <v>11</v>
      </c>
      <c r="AQ11" s="37">
        <v>104</v>
      </c>
      <c r="AR11" s="37">
        <v>187</v>
      </c>
      <c r="AS11" s="37">
        <v>372</v>
      </c>
      <c r="AT11" s="37">
        <v>91</v>
      </c>
      <c r="AU11" s="37">
        <v>11</v>
      </c>
      <c r="AV11" s="37">
        <v>56</v>
      </c>
      <c r="AW11" s="37">
        <v>142</v>
      </c>
      <c r="AX11" s="37">
        <v>981</v>
      </c>
      <c r="AY11" s="37">
        <v>-1286</v>
      </c>
      <c r="AZ11" s="37">
        <v>32</v>
      </c>
      <c r="BA11" s="37">
        <v>50</v>
      </c>
      <c r="BB11" s="37">
        <v>149</v>
      </c>
      <c r="BC11" s="37">
        <v>127</v>
      </c>
      <c r="BD11" s="37">
        <v>30</v>
      </c>
      <c r="BE11" s="37">
        <v>2404</v>
      </c>
      <c r="BF11" s="37">
        <v>20</v>
      </c>
      <c r="BG11" s="37">
        <v>1279</v>
      </c>
      <c r="BH11" s="37">
        <v>4458</v>
      </c>
      <c r="BI11" s="37">
        <v>0</v>
      </c>
      <c r="BJ11" s="37">
        <v>0</v>
      </c>
      <c r="BK11" s="37">
        <v>0</v>
      </c>
      <c r="BL11" s="37">
        <v>0</v>
      </c>
      <c r="BM11" s="37">
        <v>1769</v>
      </c>
      <c r="BN11" s="37">
        <v>79</v>
      </c>
      <c r="BO11" s="3">
        <f t="shared" si="0"/>
        <v>0.891827146798028</v>
      </c>
      <c r="BS11" s="5">
        <f t="shared" si="4"/>
        <v>0</v>
      </c>
    </row>
    <row r="12" spans="1:71">
      <c r="A12" s="10"/>
      <c r="B12" s="10"/>
      <c r="C12" s="10"/>
      <c r="D12" s="9" t="s">
        <v>68</v>
      </c>
      <c r="E12" s="3">
        <v>49.4</v>
      </c>
      <c r="F12" s="1">
        <v>243</v>
      </c>
      <c r="H12" s="12">
        <v>7.249</v>
      </c>
      <c r="I12" s="12">
        <v>228.7</v>
      </c>
      <c r="J12" s="25">
        <v>130</v>
      </c>
      <c r="K12" s="12">
        <v>3.2</v>
      </c>
      <c r="L12" s="12">
        <v>1.39</v>
      </c>
      <c r="M12" s="12">
        <v>103</v>
      </c>
      <c r="N12" s="12">
        <v>22.7</v>
      </c>
      <c r="O12" s="12">
        <v>0.6</v>
      </c>
      <c r="P12" s="24">
        <v>9.7</v>
      </c>
      <c r="Q12" s="12">
        <v>20.9</v>
      </c>
      <c r="R12" s="12">
        <v>99.3</v>
      </c>
      <c r="S12" s="30">
        <v>7.256</v>
      </c>
      <c r="T12" s="12">
        <v>21.8</v>
      </c>
      <c r="U12" s="12">
        <v>130.4</v>
      </c>
      <c r="V12" s="12">
        <v>3.37</v>
      </c>
      <c r="W12" s="12">
        <v>1.37</v>
      </c>
      <c r="X12" s="12">
        <v>105</v>
      </c>
      <c r="Y12" s="12">
        <v>21.7</v>
      </c>
      <c r="Z12" s="12">
        <v>0.51</v>
      </c>
      <c r="AA12" s="12">
        <v>9.7</v>
      </c>
      <c r="AB12" s="12">
        <v>19.9</v>
      </c>
      <c r="AC12" s="12">
        <v>97.9</v>
      </c>
      <c r="AD12" s="3">
        <v>53</v>
      </c>
      <c r="AE12" s="3">
        <v>0.8</v>
      </c>
      <c r="AF12" s="3">
        <f t="shared" si="1"/>
        <v>0.0272633744855967</v>
      </c>
      <c r="AG12" s="3">
        <f t="shared" si="2"/>
        <v>2.17148049382716</v>
      </c>
      <c r="AH12" s="3">
        <f t="shared" si="3"/>
        <v>-0.09</v>
      </c>
      <c r="BO12" s="3">
        <f t="shared" si="0"/>
        <v>0</v>
      </c>
      <c r="BS12" s="5">
        <f t="shared" si="4"/>
        <v>0</v>
      </c>
    </row>
    <row r="13" spans="1:71">
      <c r="A13" s="10"/>
      <c r="B13" s="10"/>
      <c r="C13" s="10"/>
      <c r="D13" s="9" t="s">
        <v>69</v>
      </c>
      <c r="E13" s="3">
        <v>49.4</v>
      </c>
      <c r="F13" s="1">
        <v>243</v>
      </c>
      <c r="H13" s="12">
        <v>7.192</v>
      </c>
      <c r="I13" s="12">
        <v>232.1</v>
      </c>
      <c r="J13" s="12">
        <v>133.1</v>
      </c>
      <c r="K13" s="12">
        <v>3.2</v>
      </c>
      <c r="L13" s="12">
        <v>1.23</v>
      </c>
      <c r="M13" s="12">
        <v>109</v>
      </c>
      <c r="N13" s="12">
        <v>18.9</v>
      </c>
      <c r="O13" s="12">
        <v>0.81</v>
      </c>
      <c r="P13" s="24">
        <v>8.9</v>
      </c>
      <c r="Q13" s="12">
        <v>18.3</v>
      </c>
      <c r="R13" s="12">
        <v>99.3</v>
      </c>
      <c r="S13" s="3">
        <v>7.186</v>
      </c>
      <c r="T13" s="12">
        <v>114.2</v>
      </c>
      <c r="U13" s="12">
        <v>133</v>
      </c>
      <c r="V13" s="12">
        <v>3.2</v>
      </c>
      <c r="W13" s="12">
        <v>1.23</v>
      </c>
      <c r="X13" s="12">
        <v>109</v>
      </c>
      <c r="Y13" s="12">
        <v>18.6</v>
      </c>
      <c r="Z13" s="12">
        <v>0.86</v>
      </c>
      <c r="AA13" s="24">
        <v>8.9</v>
      </c>
      <c r="AB13" s="12">
        <v>18.5</v>
      </c>
      <c r="AC13" s="12">
        <v>97.1</v>
      </c>
      <c r="AD13" s="3">
        <v>59</v>
      </c>
      <c r="AE13" s="3">
        <v>0.8</v>
      </c>
      <c r="AF13" s="3">
        <f t="shared" si="1"/>
        <v>0.0303497942386831</v>
      </c>
      <c r="AG13" s="3">
        <f t="shared" si="2"/>
        <v>1.28963687242798</v>
      </c>
      <c r="AH13" s="3">
        <f t="shared" si="3"/>
        <v>0.0499999999999999</v>
      </c>
      <c r="BO13" s="3">
        <f t="shared" si="0"/>
        <v>0</v>
      </c>
      <c r="BS13" s="5">
        <f t="shared" si="4"/>
        <v>0</v>
      </c>
    </row>
    <row r="14" s="1" customFormat="1" spans="1:71">
      <c r="A14" s="10"/>
      <c r="B14" s="10"/>
      <c r="C14" s="10"/>
      <c r="D14" s="18" t="s">
        <v>70</v>
      </c>
      <c r="E14" s="3">
        <v>49.4</v>
      </c>
      <c r="F14" s="1">
        <v>243</v>
      </c>
      <c r="H14" s="3">
        <v>7.184</v>
      </c>
      <c r="I14" s="12">
        <v>236.9</v>
      </c>
      <c r="J14" s="12">
        <v>133.3</v>
      </c>
      <c r="K14" s="12">
        <v>3.5</v>
      </c>
      <c r="L14" s="12">
        <v>1.19</v>
      </c>
      <c r="M14" s="12">
        <v>109</v>
      </c>
      <c r="N14" s="12">
        <v>18.3</v>
      </c>
      <c r="O14" s="12">
        <v>1.17</v>
      </c>
      <c r="P14" s="12">
        <v>9.1</v>
      </c>
      <c r="Q14" s="12">
        <v>17.1</v>
      </c>
      <c r="R14" s="12">
        <v>99.3</v>
      </c>
      <c r="S14" s="3">
        <v>7.199</v>
      </c>
      <c r="T14" s="12">
        <v>114.8</v>
      </c>
      <c r="U14" s="12">
        <v>133.2</v>
      </c>
      <c r="V14" s="12">
        <v>3.46</v>
      </c>
      <c r="W14" s="12">
        <v>0.17</v>
      </c>
      <c r="X14" s="12">
        <v>110</v>
      </c>
      <c r="Y14" s="12">
        <v>18</v>
      </c>
      <c r="Z14" s="12">
        <v>1.19</v>
      </c>
      <c r="AA14" s="12">
        <v>9.1</v>
      </c>
      <c r="AB14" s="12">
        <v>17.1</v>
      </c>
      <c r="AC14" s="12">
        <v>97.2</v>
      </c>
      <c r="AD14" s="3">
        <v>60</v>
      </c>
      <c r="AE14" s="3">
        <v>0.9</v>
      </c>
      <c r="AF14" s="3">
        <f t="shared" si="1"/>
        <v>0.0274348422496571</v>
      </c>
      <c r="AG14" s="3">
        <f t="shared" si="2"/>
        <v>1.49673111111111</v>
      </c>
      <c r="AH14" s="3">
        <f t="shared" si="3"/>
        <v>0.02</v>
      </c>
      <c r="BO14" s="3">
        <f t="shared" si="0"/>
        <v>0</v>
      </c>
      <c r="BS14" s="1">
        <f t="shared" si="4"/>
        <v>0</v>
      </c>
    </row>
    <row r="15" s="1" customFormat="1" spans="1:67">
      <c r="A15" s="10"/>
      <c r="B15" s="10"/>
      <c r="C15" s="10"/>
      <c r="D15" s="14" t="s">
        <v>74</v>
      </c>
      <c r="E15" s="3">
        <v>49.4</v>
      </c>
      <c r="F15" s="1">
        <v>243</v>
      </c>
      <c r="G15" s="1">
        <v>292</v>
      </c>
      <c r="H15" s="3">
        <v>7.313</v>
      </c>
      <c r="I15" s="12">
        <v>247</v>
      </c>
      <c r="J15" s="12">
        <v>132.3</v>
      </c>
      <c r="K15" s="12">
        <v>3.77</v>
      </c>
      <c r="L15" s="12">
        <v>1.16</v>
      </c>
      <c r="M15" s="12">
        <v>110</v>
      </c>
      <c r="N15" s="12">
        <v>16.6</v>
      </c>
      <c r="O15" s="12">
        <v>2.52</v>
      </c>
      <c r="P15" s="12">
        <v>9.2</v>
      </c>
      <c r="Q15" s="12">
        <v>13.9</v>
      </c>
      <c r="R15" s="12">
        <v>99.5</v>
      </c>
      <c r="S15" s="3">
        <v>7.287</v>
      </c>
      <c r="T15" s="12">
        <v>102.3</v>
      </c>
      <c r="U15" s="12">
        <v>132.7</v>
      </c>
      <c r="V15" s="12">
        <v>3.78</v>
      </c>
      <c r="W15" s="12">
        <v>1.18</v>
      </c>
      <c r="X15" s="12">
        <v>109</v>
      </c>
      <c r="Y15" s="12">
        <v>16</v>
      </c>
      <c r="Z15" s="12">
        <v>2.34</v>
      </c>
      <c r="AA15" s="12">
        <v>9.2</v>
      </c>
      <c r="AB15" s="12">
        <v>13.7</v>
      </c>
      <c r="AC15" s="12">
        <v>97.2</v>
      </c>
      <c r="AD15" s="3">
        <v>56</v>
      </c>
      <c r="AE15" s="3">
        <v>0.9</v>
      </c>
      <c r="AF15" s="3">
        <f t="shared" si="1"/>
        <v>0.0256058527663466</v>
      </c>
      <c r="AG15" s="3">
        <f t="shared" si="2"/>
        <v>1.76638666666667</v>
      </c>
      <c r="AH15" s="3">
        <f t="shared" si="3"/>
        <v>-0.18</v>
      </c>
      <c r="AI15" s="1">
        <v>4.12</v>
      </c>
      <c r="AJ15" s="1">
        <v>0.24</v>
      </c>
      <c r="AK15" s="1">
        <v>40.59</v>
      </c>
      <c r="AL15" s="1">
        <v>6.81</v>
      </c>
      <c r="AM15" s="1">
        <v>7.51</v>
      </c>
      <c r="AN15" s="1">
        <v>113.22</v>
      </c>
      <c r="AO15" s="1">
        <v>13</v>
      </c>
      <c r="AP15" s="1">
        <v>8</v>
      </c>
      <c r="AQ15" s="1">
        <v>95</v>
      </c>
      <c r="AR15" s="1">
        <v>236</v>
      </c>
      <c r="AS15" s="1">
        <v>282</v>
      </c>
      <c r="AT15" s="1">
        <v>81</v>
      </c>
      <c r="AU15" s="1">
        <v>9</v>
      </c>
      <c r="AV15" s="1">
        <v>36</v>
      </c>
      <c r="AW15" s="1">
        <v>135</v>
      </c>
      <c r="AX15" s="1">
        <v>746</v>
      </c>
      <c r="AY15" s="1">
        <v>-1520</v>
      </c>
      <c r="AZ15" s="1">
        <v>42</v>
      </c>
      <c r="BA15" s="1">
        <v>44</v>
      </c>
      <c r="BB15" s="1">
        <v>154</v>
      </c>
      <c r="BC15" s="1">
        <v>138</v>
      </c>
      <c r="BD15" s="1">
        <v>24</v>
      </c>
      <c r="BE15" s="1">
        <v>2085</v>
      </c>
      <c r="BF15" s="1">
        <v>15</v>
      </c>
      <c r="BG15" s="1">
        <v>876</v>
      </c>
      <c r="BH15" s="1">
        <v>4335</v>
      </c>
      <c r="BI15" s="1">
        <v>0</v>
      </c>
      <c r="BJ15" s="40">
        <v>0</v>
      </c>
      <c r="BK15" s="40">
        <v>0</v>
      </c>
      <c r="BL15" s="40">
        <v>0</v>
      </c>
      <c r="BM15" s="40">
        <v>1085</v>
      </c>
      <c r="BN15" s="40">
        <v>87</v>
      </c>
      <c r="BO15" s="3">
        <f t="shared" si="0"/>
        <v>0.773485690962516</v>
      </c>
    </row>
    <row r="16" spans="1:71">
      <c r="A16" s="15"/>
      <c r="B16" s="15"/>
      <c r="C16" s="15"/>
      <c r="D16" s="16" t="s">
        <v>72</v>
      </c>
      <c r="AF16" s="3" t="e">
        <f t="shared" si="1"/>
        <v>#DIV/0!</v>
      </c>
      <c r="AG16" s="3" t="e">
        <f t="shared" si="2"/>
        <v>#DIV/0!</v>
      </c>
      <c r="AH16" s="3">
        <f t="shared" si="3"/>
        <v>0</v>
      </c>
      <c r="BJ16" s="41"/>
      <c r="BK16" s="41"/>
      <c r="BL16" s="41"/>
      <c r="BM16" s="37"/>
      <c r="BN16" s="37"/>
      <c r="BO16" s="3" t="e">
        <f t="shared" si="0"/>
        <v>#DIV/0!</v>
      </c>
      <c r="BS16" s="5" t="e">
        <f t="shared" ref="BS16:BS21" si="5">BR16/(0.0734*(POWER(F16,0.656)))</f>
        <v>#DIV/0!</v>
      </c>
    </row>
    <row r="17" spans="1:71">
      <c r="A17" s="8">
        <v>3</v>
      </c>
      <c r="B17" s="8"/>
      <c r="C17" s="8" t="s">
        <v>75</v>
      </c>
      <c r="D17" s="9" t="s">
        <v>66</v>
      </c>
      <c r="E17" s="3">
        <v>49.9</v>
      </c>
      <c r="F17" s="3">
        <v>215</v>
      </c>
      <c r="H17" s="3">
        <v>7.396</v>
      </c>
      <c r="I17" s="3">
        <v>254.3</v>
      </c>
      <c r="J17" s="3">
        <v>143.2</v>
      </c>
      <c r="K17" s="3">
        <v>4.25</v>
      </c>
      <c r="L17" s="3">
        <v>1.08</v>
      </c>
      <c r="M17" s="3">
        <v>108</v>
      </c>
      <c r="N17" s="3">
        <v>4.9</v>
      </c>
      <c r="O17" s="3">
        <v>1.63</v>
      </c>
      <c r="P17" s="3">
        <v>9.2</v>
      </c>
      <c r="Q17" s="3">
        <v>24.5</v>
      </c>
      <c r="R17" s="3">
        <v>99.6</v>
      </c>
      <c r="S17" s="3">
        <v>7.353</v>
      </c>
      <c r="T17" s="3">
        <v>112.7</v>
      </c>
      <c r="U17" s="3">
        <v>143.9</v>
      </c>
      <c r="V17" s="3">
        <v>4.42</v>
      </c>
      <c r="W17" s="3">
        <v>1.06</v>
      </c>
      <c r="X17" s="3">
        <v>106</v>
      </c>
      <c r="Y17" s="3">
        <v>4.7</v>
      </c>
      <c r="Z17" s="3">
        <v>1.38</v>
      </c>
      <c r="AA17" s="3">
        <v>9.2</v>
      </c>
      <c r="AB17" s="3">
        <v>23.5</v>
      </c>
      <c r="AC17" s="3">
        <v>97.9</v>
      </c>
      <c r="AD17" s="3">
        <v>53</v>
      </c>
      <c r="AE17" s="3">
        <v>0.46</v>
      </c>
      <c r="AF17" s="3">
        <f t="shared" si="1"/>
        <v>0.0535894843276036</v>
      </c>
      <c r="AG17" s="3">
        <f t="shared" si="2"/>
        <v>0.984009748837209</v>
      </c>
      <c r="AH17" s="3">
        <f t="shared" si="3"/>
        <v>-0.25</v>
      </c>
      <c r="BO17" s="3">
        <f t="shared" si="0"/>
        <v>0</v>
      </c>
      <c r="BS17" s="5">
        <f t="shared" si="5"/>
        <v>0</v>
      </c>
    </row>
    <row r="18" spans="1:71">
      <c r="A18" s="10"/>
      <c r="B18" s="10"/>
      <c r="C18" s="10"/>
      <c r="D18" s="9" t="s">
        <v>67</v>
      </c>
      <c r="E18" s="3">
        <v>49.9</v>
      </c>
      <c r="F18" s="3">
        <v>215</v>
      </c>
      <c r="H18" s="11">
        <v>7.3</v>
      </c>
      <c r="I18" s="21">
        <v>290.4</v>
      </c>
      <c r="J18" s="21">
        <v>140.1</v>
      </c>
      <c r="K18" s="21">
        <v>3.96</v>
      </c>
      <c r="L18" s="21">
        <v>1.07</v>
      </c>
      <c r="M18" s="21">
        <v>107</v>
      </c>
      <c r="N18" s="21">
        <v>5.9</v>
      </c>
      <c r="O18" s="21">
        <v>1.25</v>
      </c>
      <c r="P18" s="3">
        <v>9.3</v>
      </c>
      <c r="Q18" s="21">
        <v>25.8</v>
      </c>
      <c r="R18" s="21">
        <v>99.6</v>
      </c>
      <c r="S18" s="3">
        <v>7.282</v>
      </c>
      <c r="T18" s="3">
        <v>69.4</v>
      </c>
      <c r="U18" s="12">
        <v>140.2</v>
      </c>
      <c r="V18" s="12">
        <v>3.94</v>
      </c>
      <c r="W18" s="12">
        <v>1.08</v>
      </c>
      <c r="X18" s="12">
        <v>107</v>
      </c>
      <c r="Y18" s="12">
        <v>5.7</v>
      </c>
      <c r="Z18" s="12">
        <v>1.04</v>
      </c>
      <c r="AA18" s="3">
        <v>9.3</v>
      </c>
      <c r="AB18" s="3">
        <v>26</v>
      </c>
      <c r="AC18" s="12">
        <v>91.5</v>
      </c>
      <c r="AD18" s="3">
        <v>50</v>
      </c>
      <c r="AE18" s="3">
        <v>0.37</v>
      </c>
      <c r="AF18" s="3">
        <f t="shared" si="1"/>
        <v>0.0628535512256442</v>
      </c>
      <c r="AG18" s="3">
        <f t="shared" si="2"/>
        <v>1.35272378604651</v>
      </c>
      <c r="AH18" s="3">
        <f t="shared" si="3"/>
        <v>-0.21</v>
      </c>
      <c r="AI18" s="4">
        <v>7.09</v>
      </c>
      <c r="AJ18" s="4">
        <v>0.17</v>
      </c>
      <c r="AK18" s="4">
        <v>35.88</v>
      </c>
      <c r="AL18" s="4">
        <v>24.97</v>
      </c>
      <c r="AM18" s="4">
        <v>17.13</v>
      </c>
      <c r="AN18" s="4">
        <v>0.58</v>
      </c>
      <c r="AO18" s="3">
        <v>10</v>
      </c>
      <c r="AP18" s="3">
        <v>7</v>
      </c>
      <c r="AQ18" s="3">
        <v>99</v>
      </c>
      <c r="AR18" s="3">
        <v>181</v>
      </c>
      <c r="AS18" s="3">
        <v>116</v>
      </c>
      <c r="AT18" s="3">
        <v>85</v>
      </c>
      <c r="AU18" s="3">
        <v>8</v>
      </c>
      <c r="AV18" s="3">
        <v>54</v>
      </c>
      <c r="AW18" s="3">
        <v>134</v>
      </c>
      <c r="AX18" s="3">
        <v>1111</v>
      </c>
      <c r="AY18" s="3">
        <v>-1329</v>
      </c>
      <c r="AZ18" s="3">
        <v>40</v>
      </c>
      <c r="BA18" s="3">
        <v>40</v>
      </c>
      <c r="BB18" s="3">
        <v>56</v>
      </c>
      <c r="BC18" s="3">
        <v>48</v>
      </c>
      <c r="BD18" s="3">
        <v>12</v>
      </c>
      <c r="BE18" s="3">
        <v>1471</v>
      </c>
      <c r="BF18" s="3">
        <v>21</v>
      </c>
      <c r="BG18" s="3">
        <v>553</v>
      </c>
      <c r="BH18" s="3">
        <v>5840</v>
      </c>
      <c r="BI18" s="3">
        <v>2</v>
      </c>
      <c r="BJ18" s="3">
        <v>0</v>
      </c>
      <c r="BK18" s="3">
        <v>0</v>
      </c>
      <c r="BL18" s="3">
        <v>0</v>
      </c>
      <c r="BM18" s="3">
        <v>687</v>
      </c>
      <c r="BN18" s="3">
        <v>124</v>
      </c>
      <c r="BO18" s="3">
        <f t="shared" si="0"/>
        <v>0.591339627110773</v>
      </c>
      <c r="BS18" s="5">
        <f t="shared" si="5"/>
        <v>0</v>
      </c>
    </row>
    <row r="19" spans="1:71">
      <c r="A19" s="10"/>
      <c r="B19" s="10"/>
      <c r="C19" s="10"/>
      <c r="D19" s="9" t="s">
        <v>68</v>
      </c>
      <c r="E19" s="3">
        <v>49.9</v>
      </c>
      <c r="F19" s="3">
        <v>215</v>
      </c>
      <c r="H19" s="12">
        <v>7.34</v>
      </c>
      <c r="I19" s="12">
        <v>287.9</v>
      </c>
      <c r="J19" s="12">
        <v>136</v>
      </c>
      <c r="K19" s="12">
        <v>4.01</v>
      </c>
      <c r="L19" s="12">
        <v>1.14</v>
      </c>
      <c r="M19" s="12">
        <v>106</v>
      </c>
      <c r="N19" s="12">
        <v>14.8</v>
      </c>
      <c r="O19" s="12">
        <v>0.53</v>
      </c>
      <c r="P19" s="24">
        <v>8</v>
      </c>
      <c r="Q19" s="12">
        <v>22.2</v>
      </c>
      <c r="R19" s="12">
        <v>99.6</v>
      </c>
      <c r="S19" s="30">
        <v>7.343</v>
      </c>
      <c r="T19" s="12">
        <v>109.8</v>
      </c>
      <c r="U19" s="12">
        <v>135.3</v>
      </c>
      <c r="V19" s="12">
        <v>3.97</v>
      </c>
      <c r="W19" s="12">
        <v>1.17</v>
      </c>
      <c r="X19" s="12">
        <v>106</v>
      </c>
      <c r="Y19" s="12">
        <v>16</v>
      </c>
      <c r="Z19" s="12">
        <v>0.57</v>
      </c>
      <c r="AA19" s="12">
        <v>8</v>
      </c>
      <c r="AB19" s="12">
        <v>23.2</v>
      </c>
      <c r="AC19" s="12">
        <v>97.8</v>
      </c>
      <c r="AD19" s="12">
        <v>55</v>
      </c>
      <c r="AE19" s="3">
        <v>0.82</v>
      </c>
      <c r="AF19" s="3">
        <f t="shared" si="1"/>
        <v>0.0311968235961429</v>
      </c>
      <c r="AG19" s="3">
        <f t="shared" si="2"/>
        <v>2.17931590697674</v>
      </c>
      <c r="AH19" s="3">
        <f t="shared" si="3"/>
        <v>0.0399999999999999</v>
      </c>
      <c r="BO19" s="3">
        <f t="shared" si="0"/>
        <v>0</v>
      </c>
      <c r="BS19" s="5">
        <f t="shared" si="5"/>
        <v>0</v>
      </c>
    </row>
    <row r="20" spans="1:71">
      <c r="A20" s="10"/>
      <c r="B20" s="10"/>
      <c r="C20" s="10"/>
      <c r="D20" s="9" t="s">
        <v>69</v>
      </c>
      <c r="E20" s="3">
        <v>49.9</v>
      </c>
      <c r="F20" s="3">
        <v>215</v>
      </c>
      <c r="H20" s="3">
        <v>7.488</v>
      </c>
      <c r="I20" s="3">
        <v>261.9</v>
      </c>
      <c r="J20" s="12">
        <v>136.3</v>
      </c>
      <c r="K20" s="12">
        <v>4.03</v>
      </c>
      <c r="L20" s="12">
        <v>1.08</v>
      </c>
      <c r="M20" s="12">
        <v>107</v>
      </c>
      <c r="N20" s="12">
        <v>15.4</v>
      </c>
      <c r="O20" s="12">
        <v>1.46</v>
      </c>
      <c r="P20" s="3">
        <v>8.1</v>
      </c>
      <c r="Q20" s="3">
        <v>21.5</v>
      </c>
      <c r="R20" s="12">
        <v>99.7</v>
      </c>
      <c r="S20" s="3">
        <v>7.421</v>
      </c>
      <c r="T20" s="3">
        <v>89.5</v>
      </c>
      <c r="U20" s="12">
        <v>136.6</v>
      </c>
      <c r="V20" s="12">
        <v>4.05</v>
      </c>
      <c r="W20" s="12">
        <v>1.12</v>
      </c>
      <c r="X20" s="12">
        <v>107</v>
      </c>
      <c r="Y20" s="12">
        <v>15.5</v>
      </c>
      <c r="Z20" s="12">
        <v>1.56</v>
      </c>
      <c r="AA20" s="3">
        <v>8.1</v>
      </c>
      <c r="AB20" s="3">
        <v>22</v>
      </c>
      <c r="AC20" s="12">
        <v>97.1</v>
      </c>
      <c r="AD20" s="3">
        <v>53</v>
      </c>
      <c r="AE20" s="3">
        <v>0.73</v>
      </c>
      <c r="AF20" s="3">
        <f t="shared" si="1"/>
        <v>0.0337687161516406</v>
      </c>
      <c r="AG20" s="3">
        <f t="shared" si="2"/>
        <v>1.91042833488372</v>
      </c>
      <c r="AH20" s="3">
        <f t="shared" si="3"/>
        <v>0.1</v>
      </c>
      <c r="BO20" s="3">
        <f t="shared" si="0"/>
        <v>0</v>
      </c>
      <c r="BS20" s="5">
        <f t="shared" si="5"/>
        <v>0</v>
      </c>
    </row>
    <row r="21" spans="1:71">
      <c r="A21" s="10"/>
      <c r="B21" s="10"/>
      <c r="C21" s="10"/>
      <c r="D21" s="13" t="s">
        <v>70</v>
      </c>
      <c r="E21" s="3">
        <v>49.9</v>
      </c>
      <c r="F21" s="3">
        <v>215</v>
      </c>
      <c r="H21" s="3">
        <v>7.353</v>
      </c>
      <c r="I21" s="3">
        <v>307.7</v>
      </c>
      <c r="J21" s="12">
        <v>138.1</v>
      </c>
      <c r="K21" s="12">
        <v>4.3</v>
      </c>
      <c r="L21" s="12">
        <v>1.4</v>
      </c>
      <c r="M21" s="12">
        <v>108</v>
      </c>
      <c r="N21" s="12">
        <v>15.1</v>
      </c>
      <c r="O21" s="12">
        <v>1.94</v>
      </c>
      <c r="P21" s="3">
        <v>8.1</v>
      </c>
      <c r="Q21" s="3">
        <v>21.4</v>
      </c>
      <c r="R21" s="12">
        <v>99.7</v>
      </c>
      <c r="S21" s="3">
        <v>7.333</v>
      </c>
      <c r="T21" s="3">
        <v>100</v>
      </c>
      <c r="U21" s="12">
        <v>138.5</v>
      </c>
      <c r="V21" s="12">
        <v>4.29</v>
      </c>
      <c r="W21" s="12">
        <v>1.6</v>
      </c>
      <c r="X21" s="12">
        <v>109</v>
      </c>
      <c r="Y21" s="12">
        <v>15.1</v>
      </c>
      <c r="Z21" s="12">
        <v>1.99</v>
      </c>
      <c r="AA21" s="3">
        <v>8.1</v>
      </c>
      <c r="AB21" s="3">
        <v>21.2</v>
      </c>
      <c r="AC21" s="12">
        <v>97.2</v>
      </c>
      <c r="AD21" s="3">
        <v>51</v>
      </c>
      <c r="AE21" s="12">
        <v>0.73</v>
      </c>
      <c r="AF21" s="3">
        <f t="shared" si="1"/>
        <v>0.032494424976107</v>
      </c>
      <c r="AG21" s="3">
        <f t="shared" si="2"/>
        <v>2.27829604651163</v>
      </c>
      <c r="AH21" s="3">
        <f t="shared" si="3"/>
        <v>0.05</v>
      </c>
      <c r="AI21" s="38">
        <v>8.29</v>
      </c>
      <c r="AJ21" s="38">
        <v>0.53</v>
      </c>
      <c r="AK21" s="38">
        <v>33.77</v>
      </c>
      <c r="AL21" s="38">
        <v>7.59</v>
      </c>
      <c r="AM21" s="38">
        <v>8.77</v>
      </c>
      <c r="AN21" s="38">
        <v>38.19</v>
      </c>
      <c r="AO21" s="37">
        <v>10</v>
      </c>
      <c r="AP21" s="37">
        <v>5</v>
      </c>
      <c r="AQ21" s="37">
        <v>102</v>
      </c>
      <c r="AR21" s="37">
        <v>189</v>
      </c>
      <c r="AS21" s="37">
        <v>140</v>
      </c>
      <c r="AT21" s="37">
        <v>87</v>
      </c>
      <c r="AU21" s="37">
        <v>7</v>
      </c>
      <c r="AV21" s="37">
        <v>52</v>
      </c>
      <c r="AW21" s="37">
        <v>125</v>
      </c>
      <c r="AX21" s="3">
        <v>923</v>
      </c>
      <c r="AY21" s="3">
        <v>-1472</v>
      </c>
      <c r="AZ21" s="3">
        <v>31</v>
      </c>
      <c r="BA21" s="3">
        <v>34</v>
      </c>
      <c r="BB21" s="3">
        <v>62</v>
      </c>
      <c r="BC21" s="3">
        <v>55</v>
      </c>
      <c r="BD21" s="3">
        <v>12</v>
      </c>
      <c r="BE21" s="3">
        <v>1434</v>
      </c>
      <c r="BF21" s="3">
        <v>19</v>
      </c>
      <c r="BG21" s="3">
        <v>659</v>
      </c>
      <c r="BH21" s="3">
        <v>2560</v>
      </c>
      <c r="BI21" s="3">
        <v>1</v>
      </c>
      <c r="BJ21" s="3">
        <v>0</v>
      </c>
      <c r="BK21" s="3">
        <v>0</v>
      </c>
      <c r="BL21" s="3">
        <v>0</v>
      </c>
      <c r="BM21" s="3">
        <v>780</v>
      </c>
      <c r="BN21" s="3">
        <v>119</v>
      </c>
      <c r="BO21" s="3">
        <f t="shared" si="0"/>
        <v>0.576465686795954</v>
      </c>
      <c r="BS21" s="5">
        <f t="shared" si="5"/>
        <v>0</v>
      </c>
    </row>
    <row r="22" spans="1:67">
      <c r="A22" s="10"/>
      <c r="B22" s="10"/>
      <c r="C22" s="10"/>
      <c r="D22" s="14" t="s">
        <v>74</v>
      </c>
      <c r="E22" s="3">
        <v>49.9</v>
      </c>
      <c r="F22" s="3">
        <v>215</v>
      </c>
      <c r="G22" s="3">
        <v>266</v>
      </c>
      <c r="H22" s="3">
        <v>7.39</v>
      </c>
      <c r="I22" s="3">
        <v>224.1</v>
      </c>
      <c r="J22" s="12">
        <v>138.6</v>
      </c>
      <c r="K22" s="12">
        <v>4.45</v>
      </c>
      <c r="L22" s="12">
        <v>1.37</v>
      </c>
      <c r="M22" s="12">
        <v>109</v>
      </c>
      <c r="N22" s="12">
        <v>15.7</v>
      </c>
      <c r="O22" s="12">
        <v>2.19</v>
      </c>
      <c r="P22" s="3">
        <v>8.2</v>
      </c>
      <c r="Q22" s="3">
        <v>20.1</v>
      </c>
      <c r="R22" s="12">
        <v>99.5</v>
      </c>
      <c r="S22" s="3">
        <v>7.359</v>
      </c>
      <c r="T22" s="3">
        <v>107.8</v>
      </c>
      <c r="U22" s="12">
        <v>138.4</v>
      </c>
      <c r="V22" s="12">
        <v>4.44</v>
      </c>
      <c r="W22" s="12">
        <v>1.38</v>
      </c>
      <c r="X22" s="12">
        <v>108</v>
      </c>
      <c r="Y22" s="12">
        <v>14.4</v>
      </c>
      <c r="Z22" s="12">
        <v>1.98</v>
      </c>
      <c r="AA22" s="3">
        <v>8.2</v>
      </c>
      <c r="AB22" s="3">
        <v>18.8</v>
      </c>
      <c r="AC22" s="12">
        <v>97.8</v>
      </c>
      <c r="AD22" s="3">
        <v>55</v>
      </c>
      <c r="AE22" s="12">
        <v>0.84</v>
      </c>
      <c r="AF22" s="3">
        <f t="shared" si="1"/>
        <v>0.0304540420819491</v>
      </c>
      <c r="AG22" s="3">
        <f t="shared" si="2"/>
        <v>1.48156308837209</v>
      </c>
      <c r="AH22" s="3">
        <f t="shared" si="3"/>
        <v>-0.21</v>
      </c>
      <c r="AI22" s="38"/>
      <c r="AJ22" s="38"/>
      <c r="AK22" s="38"/>
      <c r="AL22" s="38"/>
      <c r="AM22" s="38"/>
      <c r="AN22" s="38"/>
      <c r="AO22" s="37"/>
      <c r="AP22" s="37"/>
      <c r="AQ22" s="37"/>
      <c r="AR22" s="37"/>
      <c r="AS22" s="37"/>
      <c r="AT22" s="37"/>
      <c r="AU22" s="37"/>
      <c r="AV22" s="37"/>
      <c r="AW22" s="37"/>
      <c r="BH22" s="41"/>
      <c r="BI22" s="41"/>
      <c r="BJ22" s="41"/>
      <c r="BK22" s="41"/>
      <c r="BL22" s="41"/>
      <c r="BM22" s="41"/>
      <c r="BN22" s="41"/>
      <c r="BO22" s="3">
        <f t="shared" si="0"/>
        <v>0</v>
      </c>
    </row>
    <row r="23" spans="1:71">
      <c r="A23" s="15"/>
      <c r="B23" s="15"/>
      <c r="C23" s="15"/>
      <c r="D23" s="16" t="s">
        <v>72</v>
      </c>
      <c r="AF23" s="3" t="e">
        <f t="shared" si="1"/>
        <v>#DIV/0!</v>
      </c>
      <c r="AG23" s="3" t="e">
        <f t="shared" si="2"/>
        <v>#DIV/0!</v>
      </c>
      <c r="AH23" s="3">
        <f t="shared" si="3"/>
        <v>0</v>
      </c>
      <c r="AI23" s="38"/>
      <c r="AJ23" s="38"/>
      <c r="AK23" s="38"/>
      <c r="AL23" s="38"/>
      <c r="AM23" s="38"/>
      <c r="AN23" s="38"/>
      <c r="BH23" s="37"/>
      <c r="BI23" s="42"/>
      <c r="BJ23" s="42"/>
      <c r="BK23" s="42"/>
      <c r="BL23" s="42"/>
      <c r="BM23" s="37"/>
      <c r="BN23" s="37"/>
      <c r="BO23" s="3" t="e">
        <f t="shared" si="0"/>
        <v>#DIV/0!</v>
      </c>
      <c r="BS23" s="5" t="e">
        <f t="shared" ref="BS23:BS28" si="6">BR23/(0.0734*(POWER(F23,0.656)))</f>
        <v>#DIV/0!</v>
      </c>
    </row>
    <row r="24" spans="1:71">
      <c r="A24" s="8">
        <v>4</v>
      </c>
      <c r="B24" s="8"/>
      <c r="C24" s="8" t="s">
        <v>76</v>
      </c>
      <c r="D24" s="9" t="s">
        <v>66</v>
      </c>
      <c r="E24" s="3">
        <v>48</v>
      </c>
      <c r="F24" s="3">
        <v>277</v>
      </c>
      <c r="H24" s="3">
        <v>7.342</v>
      </c>
      <c r="I24" s="3">
        <v>276.7</v>
      </c>
      <c r="J24" s="3">
        <v>139.4</v>
      </c>
      <c r="K24" s="3">
        <v>3.73</v>
      </c>
      <c r="L24" s="3">
        <v>1.38</v>
      </c>
      <c r="M24" s="3">
        <v>112</v>
      </c>
      <c r="N24" s="3">
        <v>7</v>
      </c>
      <c r="O24" s="3">
        <v>1.17</v>
      </c>
      <c r="P24" s="3">
        <v>9.4</v>
      </c>
      <c r="Q24" s="3">
        <v>19.3</v>
      </c>
      <c r="R24" s="3">
        <v>99.6</v>
      </c>
      <c r="S24" s="3">
        <v>7.32</v>
      </c>
      <c r="T24" s="3">
        <v>80.6</v>
      </c>
      <c r="U24" s="3">
        <v>139.4</v>
      </c>
      <c r="V24" s="3">
        <v>3.73</v>
      </c>
      <c r="W24" s="3">
        <v>1.36</v>
      </c>
      <c r="X24" s="3">
        <v>113</v>
      </c>
      <c r="Y24" s="3">
        <v>10.3</v>
      </c>
      <c r="Z24" s="3">
        <v>1.26</v>
      </c>
      <c r="AA24" s="3">
        <v>9.4</v>
      </c>
      <c r="AB24" s="3">
        <v>20</v>
      </c>
      <c r="AC24" s="3">
        <v>95.1</v>
      </c>
      <c r="AD24" s="3">
        <v>52</v>
      </c>
      <c r="AE24" s="3">
        <v>0.83</v>
      </c>
      <c r="AF24" s="3">
        <f t="shared" si="1"/>
        <v>0.0226175459962594</v>
      </c>
      <c r="AG24" s="3">
        <f t="shared" si="2"/>
        <v>1.99137675090253</v>
      </c>
      <c r="AH24" s="3">
        <f t="shared" si="3"/>
        <v>0.0900000000000001</v>
      </c>
      <c r="BO24" s="3">
        <f t="shared" si="0"/>
        <v>0</v>
      </c>
      <c r="BS24" s="5">
        <f t="shared" si="6"/>
        <v>0</v>
      </c>
    </row>
    <row r="25" spans="1:71">
      <c r="A25" s="10"/>
      <c r="B25" s="10"/>
      <c r="C25" s="10"/>
      <c r="D25" s="9" t="s">
        <v>67</v>
      </c>
      <c r="E25" s="3">
        <v>48</v>
      </c>
      <c r="F25" s="3">
        <v>277</v>
      </c>
      <c r="H25" s="3">
        <v>7.42</v>
      </c>
      <c r="I25" s="3">
        <v>118.4</v>
      </c>
      <c r="J25" s="12">
        <v>140.5</v>
      </c>
      <c r="K25" s="12">
        <v>3.94</v>
      </c>
      <c r="L25" s="12">
        <v>1.29</v>
      </c>
      <c r="M25" s="12">
        <v>114</v>
      </c>
      <c r="N25" s="12">
        <v>8.7</v>
      </c>
      <c r="O25" s="12">
        <v>1.97</v>
      </c>
      <c r="P25" s="21">
        <v>9.4</v>
      </c>
      <c r="Q25" s="3">
        <v>18.2</v>
      </c>
      <c r="R25" s="12">
        <v>98.4</v>
      </c>
      <c r="S25" s="11">
        <v>7.34</v>
      </c>
      <c r="T25" s="21">
        <v>106.2</v>
      </c>
      <c r="U25" s="21">
        <v>139.2</v>
      </c>
      <c r="V25" s="21">
        <v>3.75</v>
      </c>
      <c r="W25" s="21">
        <v>1.36</v>
      </c>
      <c r="X25" s="21">
        <v>113</v>
      </c>
      <c r="Y25" s="21">
        <v>10.4</v>
      </c>
      <c r="Z25" s="21">
        <v>1.3</v>
      </c>
      <c r="AA25" s="21">
        <v>9.4</v>
      </c>
      <c r="AB25" s="21">
        <v>19.9</v>
      </c>
      <c r="AC25" s="21">
        <v>97.6</v>
      </c>
      <c r="AD25" s="3">
        <v>61</v>
      </c>
      <c r="AE25" s="3">
        <v>0.3</v>
      </c>
      <c r="AF25" s="3">
        <f t="shared" si="1"/>
        <v>0.0734055354993983</v>
      </c>
      <c r="AG25" s="3">
        <f t="shared" si="2"/>
        <v>0.0518737906137186</v>
      </c>
      <c r="AH25" s="3">
        <f t="shared" si="3"/>
        <v>-0.67</v>
      </c>
      <c r="AI25" s="37" t="s">
        <v>77</v>
      </c>
      <c r="AJ25" s="37" t="s">
        <v>78</v>
      </c>
      <c r="AK25" s="37" t="s">
        <v>79</v>
      </c>
      <c r="AL25" s="37" t="s">
        <v>80</v>
      </c>
      <c r="AM25" s="37">
        <v>32.09</v>
      </c>
      <c r="AN25" s="37" t="s">
        <v>81</v>
      </c>
      <c r="AO25" s="37">
        <v>21</v>
      </c>
      <c r="AP25" s="37">
        <v>85</v>
      </c>
      <c r="AQ25" s="37">
        <v>82</v>
      </c>
      <c r="AR25" s="37">
        <v>249</v>
      </c>
      <c r="AS25" s="37">
        <v>155</v>
      </c>
      <c r="AT25" s="37">
        <v>84</v>
      </c>
      <c r="AU25" s="37">
        <v>20</v>
      </c>
      <c r="AV25" s="37">
        <v>57</v>
      </c>
      <c r="AW25" s="37">
        <v>146</v>
      </c>
      <c r="AX25" s="37">
        <v>628</v>
      </c>
      <c r="AY25" s="37">
        <v>-782</v>
      </c>
      <c r="AZ25" s="37">
        <v>29</v>
      </c>
      <c r="BA25" s="37">
        <v>79</v>
      </c>
      <c r="BB25" s="37">
        <v>114</v>
      </c>
      <c r="BC25" s="37">
        <v>104</v>
      </c>
      <c r="BD25" s="37">
        <v>12</v>
      </c>
      <c r="BE25" s="37">
        <v>1154</v>
      </c>
      <c r="BF25" s="37">
        <v>10</v>
      </c>
      <c r="BG25" s="37">
        <v>505</v>
      </c>
      <c r="BH25" s="37">
        <v>4510</v>
      </c>
      <c r="BI25" s="37">
        <v>0</v>
      </c>
      <c r="BJ25" s="37">
        <v>0</v>
      </c>
      <c r="BK25" s="37">
        <v>0</v>
      </c>
      <c r="BL25" s="37">
        <v>0</v>
      </c>
      <c r="BM25" s="37">
        <v>810</v>
      </c>
      <c r="BN25" s="37">
        <v>99</v>
      </c>
      <c r="BO25" s="3">
        <f t="shared" si="0"/>
        <v>0.392864711230782</v>
      </c>
      <c r="BS25" s="5">
        <f t="shared" si="6"/>
        <v>0</v>
      </c>
    </row>
    <row r="26" spans="1:71">
      <c r="A26" s="10"/>
      <c r="B26" s="10"/>
      <c r="C26" s="10"/>
      <c r="D26" s="9" t="s">
        <v>68</v>
      </c>
      <c r="E26" s="3">
        <v>48</v>
      </c>
      <c r="F26" s="3">
        <v>277</v>
      </c>
      <c r="H26" s="12">
        <v>7.423</v>
      </c>
      <c r="I26" s="12">
        <v>249.5</v>
      </c>
      <c r="J26" s="12">
        <v>140.3</v>
      </c>
      <c r="K26" s="12">
        <v>3.94</v>
      </c>
      <c r="L26" s="12">
        <v>1.26</v>
      </c>
      <c r="M26" s="12">
        <v>114</v>
      </c>
      <c r="N26" s="12">
        <v>8.8</v>
      </c>
      <c r="O26" s="12">
        <v>1.97</v>
      </c>
      <c r="P26" s="24">
        <v>8.9</v>
      </c>
      <c r="Q26" s="12">
        <v>18.7</v>
      </c>
      <c r="R26" s="12">
        <v>99.6</v>
      </c>
      <c r="S26" s="30">
        <v>7.411</v>
      </c>
      <c r="T26" s="12">
        <v>96.8</v>
      </c>
      <c r="U26" s="12">
        <v>140.4</v>
      </c>
      <c r="V26" s="12">
        <v>4.04</v>
      </c>
      <c r="W26" s="12">
        <v>1.26</v>
      </c>
      <c r="X26" s="12">
        <v>113</v>
      </c>
      <c r="Y26" s="12">
        <v>8.9</v>
      </c>
      <c r="Z26" s="12">
        <v>2</v>
      </c>
      <c r="AA26" s="24">
        <v>8.9</v>
      </c>
      <c r="AB26" s="12">
        <v>18.9</v>
      </c>
      <c r="AC26" s="12">
        <v>97.5</v>
      </c>
      <c r="AD26" s="3">
        <v>47</v>
      </c>
      <c r="AE26" s="3">
        <v>0.5</v>
      </c>
      <c r="AF26" s="3">
        <f t="shared" si="1"/>
        <v>0.0339350180505415</v>
      </c>
      <c r="AG26" s="3">
        <f t="shared" si="2"/>
        <v>0.899665342960289</v>
      </c>
      <c r="AH26" s="3">
        <f t="shared" si="3"/>
        <v>0.03</v>
      </c>
      <c r="BO26" s="3">
        <f t="shared" si="0"/>
        <v>0</v>
      </c>
      <c r="BS26" s="5">
        <f t="shared" si="6"/>
        <v>0</v>
      </c>
    </row>
    <row r="27" spans="1:71">
      <c r="A27" s="10"/>
      <c r="B27" s="10"/>
      <c r="C27" s="10"/>
      <c r="D27" s="9" t="s">
        <v>69</v>
      </c>
      <c r="E27" s="3">
        <v>48</v>
      </c>
      <c r="F27" s="3">
        <v>277</v>
      </c>
      <c r="H27" s="12">
        <v>7.471</v>
      </c>
      <c r="I27" s="12">
        <v>246</v>
      </c>
      <c r="J27" s="12">
        <v>141.2</v>
      </c>
      <c r="K27" s="12">
        <v>4.2</v>
      </c>
      <c r="L27" s="12">
        <v>1.22</v>
      </c>
      <c r="M27" s="12">
        <v>115</v>
      </c>
      <c r="N27" s="12">
        <v>8</v>
      </c>
      <c r="O27" s="12">
        <v>2.14</v>
      </c>
      <c r="P27" s="24">
        <v>8.8</v>
      </c>
      <c r="Q27" s="12">
        <v>17.5</v>
      </c>
      <c r="R27" s="12">
        <v>99.6</v>
      </c>
      <c r="S27" s="3">
        <v>7.45</v>
      </c>
      <c r="T27" s="12">
        <v>80.2</v>
      </c>
      <c r="U27" s="12">
        <v>141.1</v>
      </c>
      <c r="V27" s="12">
        <v>4.24</v>
      </c>
      <c r="W27" s="12">
        <v>1.22</v>
      </c>
      <c r="X27" s="12">
        <v>114</v>
      </c>
      <c r="Y27" s="12">
        <v>7.9</v>
      </c>
      <c r="Z27" s="12">
        <v>2.23</v>
      </c>
      <c r="AA27" s="12">
        <v>8.8</v>
      </c>
      <c r="AB27" s="12">
        <v>17.5</v>
      </c>
      <c r="AC27" s="12">
        <v>96.5</v>
      </c>
      <c r="AD27" s="3">
        <v>61</v>
      </c>
      <c r="AE27" s="3">
        <v>0.68</v>
      </c>
      <c r="AF27" s="3">
        <f t="shared" si="1"/>
        <v>0.032384795073264</v>
      </c>
      <c r="AG27" s="3">
        <f t="shared" si="2"/>
        <v>1.35149435379061</v>
      </c>
      <c r="AH27" s="3">
        <f t="shared" si="3"/>
        <v>0.0899999999999999</v>
      </c>
      <c r="BO27" s="3">
        <f t="shared" si="0"/>
        <v>0</v>
      </c>
      <c r="BS27" s="5">
        <f t="shared" si="6"/>
        <v>0</v>
      </c>
    </row>
    <row r="28" spans="1:71">
      <c r="A28" s="10"/>
      <c r="B28" s="10"/>
      <c r="C28" s="10"/>
      <c r="D28" s="13" t="s">
        <v>70</v>
      </c>
      <c r="E28" s="3">
        <v>48</v>
      </c>
      <c r="F28" s="3">
        <v>277</v>
      </c>
      <c r="H28" s="3">
        <v>7.426</v>
      </c>
      <c r="I28" s="12">
        <v>133.7</v>
      </c>
      <c r="J28" s="12">
        <v>142.6</v>
      </c>
      <c r="K28" s="12">
        <v>4.45</v>
      </c>
      <c r="L28" s="12">
        <v>1.18</v>
      </c>
      <c r="M28" s="12">
        <v>116</v>
      </c>
      <c r="N28" s="12">
        <v>7.6</v>
      </c>
      <c r="O28" s="12">
        <v>2.34</v>
      </c>
      <c r="P28" s="12">
        <v>8.6</v>
      </c>
      <c r="Q28" s="12">
        <v>17.6</v>
      </c>
      <c r="R28" s="12">
        <v>98.8</v>
      </c>
      <c r="S28" s="3">
        <v>7.427</v>
      </c>
      <c r="T28" s="12">
        <v>104.9</v>
      </c>
      <c r="U28" s="12">
        <v>141.8</v>
      </c>
      <c r="V28" s="12">
        <v>4.45</v>
      </c>
      <c r="W28" s="12">
        <v>1.18</v>
      </c>
      <c r="X28" s="12">
        <v>115</v>
      </c>
      <c r="Y28" s="12">
        <v>7.3</v>
      </c>
      <c r="Z28" s="12">
        <v>2.18</v>
      </c>
      <c r="AA28" s="12">
        <v>8.6</v>
      </c>
      <c r="AB28" s="12">
        <v>16.9</v>
      </c>
      <c r="AC28" s="12">
        <v>98</v>
      </c>
      <c r="AD28" s="3">
        <v>70</v>
      </c>
      <c r="AE28" s="3">
        <v>0.6</v>
      </c>
      <c r="AF28" s="3">
        <f t="shared" si="1"/>
        <v>0.0421179302045728</v>
      </c>
      <c r="AG28" s="3">
        <f t="shared" si="2"/>
        <v>0.213355667870036</v>
      </c>
      <c r="AH28" s="3">
        <f t="shared" si="3"/>
        <v>-0.16</v>
      </c>
      <c r="BO28" s="3">
        <f t="shared" si="0"/>
        <v>0</v>
      </c>
      <c r="BS28" s="5">
        <f t="shared" si="6"/>
        <v>0</v>
      </c>
    </row>
    <row r="29" spans="1:67">
      <c r="A29" s="10"/>
      <c r="B29" s="10"/>
      <c r="C29" s="10"/>
      <c r="D29" s="14" t="s">
        <v>74</v>
      </c>
      <c r="E29" s="3">
        <v>48</v>
      </c>
      <c r="F29" s="3">
        <v>277</v>
      </c>
      <c r="G29" s="3">
        <v>327</v>
      </c>
      <c r="H29" s="3">
        <v>7.493</v>
      </c>
      <c r="I29" s="12">
        <v>133.3</v>
      </c>
      <c r="J29" s="12">
        <v>142.6</v>
      </c>
      <c r="K29" s="12">
        <v>4.69</v>
      </c>
      <c r="L29" s="12">
        <v>1.14</v>
      </c>
      <c r="M29" s="12">
        <v>118</v>
      </c>
      <c r="N29" s="12">
        <v>7</v>
      </c>
      <c r="O29" s="12">
        <v>2.94</v>
      </c>
      <c r="P29" s="12">
        <v>8.6</v>
      </c>
      <c r="Q29" s="12">
        <v>16.5</v>
      </c>
      <c r="R29" s="12">
        <v>98.9</v>
      </c>
      <c r="S29" s="3">
        <v>7.463</v>
      </c>
      <c r="T29" s="12">
        <v>94.1</v>
      </c>
      <c r="U29" s="12">
        <v>142.2</v>
      </c>
      <c r="V29" s="12">
        <v>4.65</v>
      </c>
      <c r="W29" s="12">
        <v>1.16</v>
      </c>
      <c r="X29" s="12">
        <v>116</v>
      </c>
      <c r="Y29" s="12">
        <v>6.7</v>
      </c>
      <c r="Z29" s="12">
        <v>2.89</v>
      </c>
      <c r="AA29" s="12">
        <v>8.6</v>
      </c>
      <c r="AB29" s="12">
        <v>16.1</v>
      </c>
      <c r="AC29" s="12">
        <v>97.7</v>
      </c>
      <c r="AD29" s="3">
        <v>63</v>
      </c>
      <c r="AE29" s="3">
        <v>0.6</v>
      </c>
      <c r="AF29" s="3">
        <f t="shared" si="1"/>
        <v>0.0379061371841155</v>
      </c>
      <c r="AG29" s="3">
        <f t="shared" si="2"/>
        <v>0.293174296028881</v>
      </c>
      <c r="AH29" s="3">
        <f t="shared" si="3"/>
        <v>-0.0499999999999998</v>
      </c>
      <c r="AI29" s="37">
        <v>10.53</v>
      </c>
      <c r="AJ29" s="37">
        <v>2.35</v>
      </c>
      <c r="AK29" s="37">
        <v>50.02</v>
      </c>
      <c r="AL29" s="37">
        <v>14.75</v>
      </c>
      <c r="AM29" s="37">
        <v>20.19</v>
      </c>
      <c r="AN29" s="37">
        <v>105.22</v>
      </c>
      <c r="AO29" s="37">
        <v>22</v>
      </c>
      <c r="AP29" s="37">
        <v>62</v>
      </c>
      <c r="AQ29" s="37">
        <v>63</v>
      </c>
      <c r="AR29" s="37">
        <v>251</v>
      </c>
      <c r="AS29" s="37">
        <v>159</v>
      </c>
      <c r="AT29" s="37">
        <v>69</v>
      </c>
      <c r="AU29" s="37">
        <v>21</v>
      </c>
      <c r="AV29" s="37">
        <v>87</v>
      </c>
      <c r="AW29" s="37">
        <v>115</v>
      </c>
      <c r="AX29" s="37">
        <v>444</v>
      </c>
      <c r="AY29" s="37">
        <v>-651</v>
      </c>
      <c r="AZ29" s="37">
        <v>16</v>
      </c>
      <c r="BA29" s="37">
        <v>62</v>
      </c>
      <c r="BB29" s="37">
        <v>117</v>
      </c>
      <c r="BC29" s="37">
        <v>108</v>
      </c>
      <c r="BD29" s="37">
        <v>9</v>
      </c>
      <c r="BE29" s="37">
        <v>884</v>
      </c>
      <c r="BF29" s="37">
        <v>8</v>
      </c>
      <c r="BG29" s="37">
        <v>259</v>
      </c>
      <c r="BH29" s="37">
        <v>3372</v>
      </c>
      <c r="BI29" s="37">
        <v>0</v>
      </c>
      <c r="BJ29" s="37">
        <v>0</v>
      </c>
      <c r="BK29" s="37">
        <v>0</v>
      </c>
      <c r="BL29" s="37">
        <v>0</v>
      </c>
      <c r="BM29" s="37">
        <v>507</v>
      </c>
      <c r="BN29" s="37">
        <v>98</v>
      </c>
      <c r="BO29" s="3">
        <f t="shared" si="0"/>
        <v>0.30094662454767</v>
      </c>
    </row>
    <row r="30" spans="1:71">
      <c r="A30" s="15"/>
      <c r="B30" s="15"/>
      <c r="C30" s="15"/>
      <c r="D30" s="16" t="s">
        <v>72</v>
      </c>
      <c r="AF30" s="3" t="e">
        <f t="shared" si="1"/>
        <v>#DIV/0!</v>
      </c>
      <c r="AG30" s="3" t="e">
        <f t="shared" si="2"/>
        <v>#DIV/0!</v>
      </c>
      <c r="AH30" s="3">
        <f t="shared" si="3"/>
        <v>0</v>
      </c>
      <c r="BO30" s="3" t="e">
        <f t="shared" si="0"/>
        <v>#DIV/0!</v>
      </c>
      <c r="BS30" s="5" t="e">
        <f t="shared" ref="BS30:BS35" si="7">BR30/(0.0734*(POWER(F30,0.656)))</f>
        <v>#DIV/0!</v>
      </c>
    </row>
    <row r="31" spans="1:71">
      <c r="A31" s="8">
        <v>5</v>
      </c>
      <c r="B31" s="8"/>
      <c r="C31" s="8" t="s">
        <v>82</v>
      </c>
      <c r="D31" s="9" t="s">
        <v>66</v>
      </c>
      <c r="E31" s="3">
        <v>44.5</v>
      </c>
      <c r="F31" s="3">
        <v>234</v>
      </c>
      <c r="H31" s="3">
        <v>7.495</v>
      </c>
      <c r="I31" s="3">
        <v>315.7</v>
      </c>
      <c r="J31" s="3">
        <v>140.3</v>
      </c>
      <c r="K31" s="3">
        <v>4</v>
      </c>
      <c r="L31" s="3">
        <v>1.1</v>
      </c>
      <c r="M31" s="3">
        <v>113</v>
      </c>
      <c r="N31" s="3">
        <v>6.5</v>
      </c>
      <c r="O31" s="3">
        <v>1.88</v>
      </c>
      <c r="P31" s="3">
        <v>9.1</v>
      </c>
      <c r="Q31" s="3">
        <v>17.6</v>
      </c>
      <c r="R31" s="3">
        <v>99.8</v>
      </c>
      <c r="S31" s="3">
        <v>7.418</v>
      </c>
      <c r="T31" s="3">
        <v>102.7</v>
      </c>
      <c r="U31" s="3">
        <v>140.2</v>
      </c>
      <c r="V31" s="3">
        <v>4.03</v>
      </c>
      <c r="W31" s="3">
        <v>1.11</v>
      </c>
      <c r="X31" s="3">
        <v>112</v>
      </c>
      <c r="Y31" s="3">
        <v>6</v>
      </c>
      <c r="Z31" s="3">
        <v>1.62</v>
      </c>
      <c r="AA31" s="3">
        <v>9.1</v>
      </c>
      <c r="AB31" s="3">
        <v>16.6</v>
      </c>
      <c r="AC31" s="3">
        <v>98.2</v>
      </c>
      <c r="AD31" s="3">
        <v>48</v>
      </c>
      <c r="AE31" s="3">
        <v>1</v>
      </c>
      <c r="AF31" s="3">
        <f t="shared" si="1"/>
        <v>0.0205128205128205</v>
      </c>
      <c r="AG31" s="3">
        <f t="shared" si="2"/>
        <v>2.90517264957265</v>
      </c>
      <c r="AH31" s="3">
        <f t="shared" si="3"/>
        <v>-0.26</v>
      </c>
      <c r="BO31" s="3">
        <f t="shared" si="0"/>
        <v>0</v>
      </c>
      <c r="BS31" s="5">
        <f t="shared" si="7"/>
        <v>0</v>
      </c>
    </row>
    <row r="32" spans="1:71">
      <c r="A32" s="10"/>
      <c r="B32" s="10"/>
      <c r="C32" s="10"/>
      <c r="D32" s="9" t="s">
        <v>67</v>
      </c>
      <c r="E32" s="3">
        <v>44.5</v>
      </c>
      <c r="F32" s="3">
        <v>234</v>
      </c>
      <c r="G32" s="3">
        <v>281</v>
      </c>
      <c r="H32" s="11">
        <v>7.382</v>
      </c>
      <c r="I32" s="21">
        <v>291</v>
      </c>
      <c r="J32" s="21">
        <v>141.7</v>
      </c>
      <c r="K32" s="21">
        <v>3.77</v>
      </c>
      <c r="L32" s="21">
        <v>1.42</v>
      </c>
      <c r="M32" s="21">
        <v>119</v>
      </c>
      <c r="N32" s="21">
        <v>5.6</v>
      </c>
      <c r="O32" s="21">
        <v>1.58</v>
      </c>
      <c r="P32" s="21">
        <v>7.3</v>
      </c>
      <c r="Q32" s="21">
        <v>14.7</v>
      </c>
      <c r="R32" s="21">
        <v>99.7</v>
      </c>
      <c r="S32" s="3">
        <v>7.372</v>
      </c>
      <c r="T32" s="3">
        <v>95.3</v>
      </c>
      <c r="U32" s="21">
        <v>142.1</v>
      </c>
      <c r="V32" s="12">
        <v>3.37</v>
      </c>
      <c r="W32" s="12">
        <v>1.42</v>
      </c>
      <c r="X32" s="12">
        <v>119</v>
      </c>
      <c r="Y32" s="12">
        <v>5.6</v>
      </c>
      <c r="Z32" s="12">
        <v>1.63</v>
      </c>
      <c r="AA32" s="21">
        <v>7.3</v>
      </c>
      <c r="AB32" s="3">
        <v>151</v>
      </c>
      <c r="AC32" s="12">
        <v>97.3</v>
      </c>
      <c r="AD32" s="3">
        <v>76</v>
      </c>
      <c r="AE32" s="3">
        <v>1.03</v>
      </c>
      <c r="AF32" s="3">
        <f t="shared" si="1"/>
        <v>0.0315326528918762</v>
      </c>
      <c r="AG32" s="3">
        <f t="shared" si="2"/>
        <v>2.77372309401709</v>
      </c>
      <c r="AH32" s="3">
        <f t="shared" si="3"/>
        <v>0.0499999999999998</v>
      </c>
      <c r="AI32" s="35" t="s">
        <v>83</v>
      </c>
      <c r="BO32" s="3">
        <f t="shared" si="0"/>
        <v>0</v>
      </c>
      <c r="BS32" s="5">
        <f t="shared" si="7"/>
        <v>0</v>
      </c>
    </row>
    <row r="33" spans="1:71">
      <c r="A33" s="10"/>
      <c r="B33" s="10"/>
      <c r="C33" s="10"/>
      <c r="D33" s="9" t="s">
        <v>68</v>
      </c>
      <c r="E33" s="3">
        <v>44.5</v>
      </c>
      <c r="F33" s="3">
        <v>234</v>
      </c>
      <c r="H33" s="12">
        <v>7.329</v>
      </c>
      <c r="I33" s="12">
        <v>295.4</v>
      </c>
      <c r="J33" s="12">
        <v>142.2</v>
      </c>
      <c r="K33" s="12">
        <v>3.49</v>
      </c>
      <c r="L33" s="12">
        <v>1.39</v>
      </c>
      <c r="M33" s="12">
        <v>118</v>
      </c>
      <c r="N33" s="12">
        <v>11.1</v>
      </c>
      <c r="O33" s="12">
        <v>1.85</v>
      </c>
      <c r="P33" s="24">
        <v>7.3</v>
      </c>
      <c r="Q33" s="12">
        <v>15.3</v>
      </c>
      <c r="R33" s="12">
        <v>99.7</v>
      </c>
      <c r="S33" s="30">
        <v>7.323</v>
      </c>
      <c r="T33" s="12">
        <v>116.1</v>
      </c>
      <c r="U33" s="12">
        <v>142.8</v>
      </c>
      <c r="V33" s="12">
        <v>3.47</v>
      </c>
      <c r="W33" s="12">
        <v>1.38</v>
      </c>
      <c r="X33" s="12">
        <v>118</v>
      </c>
      <c r="Y33" s="12">
        <v>11.2</v>
      </c>
      <c r="Z33" s="12">
        <v>1.94</v>
      </c>
      <c r="AA33" s="12">
        <v>7.3</v>
      </c>
      <c r="AB33" s="12">
        <v>11.7</v>
      </c>
      <c r="AC33" s="12">
        <v>98</v>
      </c>
      <c r="AD33" s="12">
        <v>78</v>
      </c>
      <c r="AE33" s="3">
        <v>1.2</v>
      </c>
      <c r="AF33" s="3">
        <f t="shared" si="1"/>
        <v>0.0277777777777778</v>
      </c>
      <c r="AG33" s="3">
        <f t="shared" si="2"/>
        <v>2.93568923076923</v>
      </c>
      <c r="AH33" s="3">
        <f t="shared" si="3"/>
        <v>0.0899999999999999</v>
      </c>
      <c r="BO33" s="3">
        <f t="shared" si="0"/>
        <v>0</v>
      </c>
      <c r="BS33" s="5">
        <f t="shared" si="7"/>
        <v>0</v>
      </c>
    </row>
    <row r="34" spans="1:71">
      <c r="A34" s="10"/>
      <c r="B34" s="10"/>
      <c r="C34" s="10"/>
      <c r="D34" s="9" t="s">
        <v>69</v>
      </c>
      <c r="E34" s="3">
        <v>44.5</v>
      </c>
      <c r="F34" s="3">
        <v>234</v>
      </c>
      <c r="H34" s="12">
        <v>7.312</v>
      </c>
      <c r="I34" s="12">
        <v>287.1</v>
      </c>
      <c r="J34" s="12">
        <v>143.7</v>
      </c>
      <c r="K34" s="12">
        <v>3.68</v>
      </c>
      <c r="L34" s="12">
        <v>1.36</v>
      </c>
      <c r="M34" s="12">
        <v>119</v>
      </c>
      <c r="N34" s="12">
        <v>11</v>
      </c>
      <c r="O34" s="12">
        <v>2.04</v>
      </c>
      <c r="P34" s="24">
        <v>7.3</v>
      </c>
      <c r="Q34" s="12">
        <v>15</v>
      </c>
      <c r="R34" s="12">
        <v>99.6</v>
      </c>
      <c r="S34" s="3">
        <v>7.306</v>
      </c>
      <c r="T34" s="12">
        <v>112.7</v>
      </c>
      <c r="U34" s="12">
        <v>143.3</v>
      </c>
      <c r="V34" s="12">
        <v>3.67</v>
      </c>
      <c r="W34" s="12">
        <v>1.36</v>
      </c>
      <c r="X34" s="12">
        <v>119</v>
      </c>
      <c r="Y34" s="12">
        <v>10.7</v>
      </c>
      <c r="Z34" s="12">
        <v>2.06</v>
      </c>
      <c r="AA34" s="24">
        <v>7.3</v>
      </c>
      <c r="AB34" s="12">
        <v>15.1</v>
      </c>
      <c r="AC34" s="12">
        <v>97.8</v>
      </c>
      <c r="AD34" s="3">
        <v>76</v>
      </c>
      <c r="AE34" s="3">
        <v>1.26</v>
      </c>
      <c r="AF34" s="3">
        <f t="shared" si="1"/>
        <v>0.0257766924433591</v>
      </c>
      <c r="AG34" s="3">
        <f t="shared" si="2"/>
        <v>3.00594861538461</v>
      </c>
      <c r="AH34" s="3">
        <f t="shared" si="3"/>
        <v>0.02</v>
      </c>
      <c r="BO34" s="3">
        <f t="shared" si="0"/>
        <v>0</v>
      </c>
      <c r="BS34" s="5">
        <f t="shared" si="7"/>
        <v>0</v>
      </c>
    </row>
    <row r="35" s="2" customFormat="1" spans="1:71">
      <c r="A35" s="10"/>
      <c r="B35" s="10"/>
      <c r="C35" s="10"/>
      <c r="D35" s="19" t="s">
        <v>70</v>
      </c>
      <c r="E35" s="3">
        <v>44.5</v>
      </c>
      <c r="F35" s="3">
        <v>234</v>
      </c>
      <c r="G35" s="3"/>
      <c r="H35" s="3">
        <v>7.343</v>
      </c>
      <c r="I35" s="12">
        <v>303.2</v>
      </c>
      <c r="J35" s="12">
        <v>143</v>
      </c>
      <c r="K35" s="12">
        <v>3.65</v>
      </c>
      <c r="L35" s="12">
        <v>1.33</v>
      </c>
      <c r="M35" s="12">
        <v>119</v>
      </c>
      <c r="N35" s="12">
        <v>11</v>
      </c>
      <c r="O35" s="12">
        <v>2.73</v>
      </c>
      <c r="P35" s="12">
        <v>7.2</v>
      </c>
      <c r="Q35" s="12">
        <v>14</v>
      </c>
      <c r="R35" s="12">
        <v>99.7</v>
      </c>
      <c r="S35" s="3">
        <v>7.338</v>
      </c>
      <c r="T35" s="12">
        <v>137</v>
      </c>
      <c r="U35" s="12">
        <v>143.4</v>
      </c>
      <c r="V35" s="12">
        <v>3.63</v>
      </c>
      <c r="W35" s="12">
        <v>1.33</v>
      </c>
      <c r="X35" s="12">
        <v>119</v>
      </c>
      <c r="Y35" s="12">
        <v>10.8</v>
      </c>
      <c r="Z35" s="12">
        <v>2.66</v>
      </c>
      <c r="AA35" s="12">
        <v>7.2</v>
      </c>
      <c r="AB35" s="12">
        <v>13.8</v>
      </c>
      <c r="AC35" s="12">
        <v>98.6</v>
      </c>
      <c r="AD35" s="3">
        <v>61</v>
      </c>
      <c r="AE35" s="3">
        <v>0.66</v>
      </c>
      <c r="AF35" s="3">
        <f t="shared" si="1"/>
        <v>0.0394975394975395</v>
      </c>
      <c r="AG35" s="3">
        <f t="shared" si="2"/>
        <v>1.48311815384615</v>
      </c>
      <c r="AH35" s="3">
        <f t="shared" si="3"/>
        <v>-0.0699999999999998</v>
      </c>
      <c r="BO35" s="3">
        <f t="shared" si="0"/>
        <v>0</v>
      </c>
      <c r="BR35" s="5"/>
      <c r="BS35" s="5">
        <f t="shared" si="7"/>
        <v>0</v>
      </c>
    </row>
    <row r="36" s="2" customFormat="1" spans="1:71">
      <c r="A36" s="10"/>
      <c r="B36" s="10"/>
      <c r="C36" s="10"/>
      <c r="D36" s="14" t="s">
        <v>74</v>
      </c>
      <c r="E36" s="3">
        <v>44.5</v>
      </c>
      <c r="F36" s="3">
        <v>234</v>
      </c>
      <c r="G36" s="3">
        <v>281</v>
      </c>
      <c r="H36" s="3">
        <v>7.345</v>
      </c>
      <c r="I36" s="12">
        <v>305.1</v>
      </c>
      <c r="J36" s="12">
        <v>142.6</v>
      </c>
      <c r="K36" s="12">
        <v>3.74</v>
      </c>
      <c r="L36" s="12">
        <v>1.32</v>
      </c>
      <c r="M36" s="12">
        <v>118</v>
      </c>
      <c r="N36" s="12">
        <v>11.3</v>
      </c>
      <c r="O36" s="12">
        <v>2.9</v>
      </c>
      <c r="P36" s="12">
        <v>7.2</v>
      </c>
      <c r="Q36" s="12">
        <v>12.8</v>
      </c>
      <c r="R36" s="12">
        <v>99.7</v>
      </c>
      <c r="S36" s="3">
        <v>7.349</v>
      </c>
      <c r="T36" s="12">
        <v>151.7</v>
      </c>
      <c r="U36" s="12">
        <v>142.7</v>
      </c>
      <c r="V36" s="12">
        <v>3.74</v>
      </c>
      <c r="W36" s="12">
        <v>1.32</v>
      </c>
      <c r="X36" s="12">
        <v>119</v>
      </c>
      <c r="Y36" s="12">
        <v>11.1</v>
      </c>
      <c r="Z36" s="12">
        <v>2.93</v>
      </c>
      <c r="AA36" s="12">
        <v>7.2</v>
      </c>
      <c r="AB36" s="12">
        <v>12.6</v>
      </c>
      <c r="AC36" s="12">
        <v>98.8</v>
      </c>
      <c r="AD36" s="3">
        <v>58</v>
      </c>
      <c r="AE36" s="3">
        <v>0.73</v>
      </c>
      <c r="AF36" s="3">
        <f t="shared" si="1"/>
        <v>0.0339538695703079</v>
      </c>
      <c r="AG36" s="3">
        <f t="shared" si="2"/>
        <v>1.51061083760684</v>
      </c>
      <c r="AH36" s="3">
        <f t="shared" si="3"/>
        <v>0.0300000000000002</v>
      </c>
      <c r="AI36" s="37">
        <v>4.31</v>
      </c>
      <c r="AJ36" s="37">
        <v>0.57</v>
      </c>
      <c r="AK36" s="37">
        <v>56.9</v>
      </c>
      <c r="AL36" s="37">
        <v>-29.63</v>
      </c>
      <c r="AM36" s="37">
        <v>5.67</v>
      </c>
      <c r="AN36" s="37">
        <v>128.81</v>
      </c>
      <c r="AO36" s="37">
        <v>5</v>
      </c>
      <c r="AP36" s="37">
        <v>79</v>
      </c>
      <c r="AQ36" s="37">
        <v>105</v>
      </c>
      <c r="AR36" s="37">
        <v>269</v>
      </c>
      <c r="AS36" s="37">
        <v>227</v>
      </c>
      <c r="AT36" s="37">
        <v>88</v>
      </c>
      <c r="AU36" s="37">
        <v>3</v>
      </c>
      <c r="AV36" s="37">
        <v>47</v>
      </c>
      <c r="AW36" s="37">
        <v>128</v>
      </c>
      <c r="AX36" s="37">
        <v>841</v>
      </c>
      <c r="AY36" s="37">
        <v>-1348</v>
      </c>
      <c r="AZ36" s="37">
        <v>34</v>
      </c>
      <c r="BA36" s="37">
        <v>31</v>
      </c>
      <c r="BB36" s="37">
        <v>158</v>
      </c>
      <c r="BC36" s="37">
        <v>147</v>
      </c>
      <c r="BD36" s="37">
        <v>13</v>
      </c>
      <c r="BE36" s="37">
        <v>1151</v>
      </c>
      <c r="BF36" s="37">
        <v>8</v>
      </c>
      <c r="BG36" s="37">
        <v>929</v>
      </c>
      <c r="BH36" s="37">
        <v>4697</v>
      </c>
      <c r="BI36" s="37">
        <v>0</v>
      </c>
      <c r="BJ36" s="37">
        <v>0</v>
      </c>
      <c r="BK36" s="37">
        <v>0</v>
      </c>
      <c r="BL36" s="37">
        <v>0</v>
      </c>
      <c r="BM36" s="37">
        <v>1071</v>
      </c>
      <c r="BN36" s="37">
        <v>89</v>
      </c>
      <c r="BO36" s="3">
        <f t="shared" si="0"/>
        <v>0.437697092023673</v>
      </c>
      <c r="BR36" s="5"/>
      <c r="BS36" s="5"/>
    </row>
    <row r="37" spans="1:71">
      <c r="A37" s="15"/>
      <c r="B37" s="15"/>
      <c r="C37" s="15"/>
      <c r="D37" s="16" t="s">
        <v>72</v>
      </c>
      <c r="F37" s="20"/>
      <c r="AF37" s="3" t="e">
        <f t="shared" si="1"/>
        <v>#DIV/0!</v>
      </c>
      <c r="AG37" s="3" t="e">
        <f t="shared" si="2"/>
        <v>#DIV/0!</v>
      </c>
      <c r="AH37" s="3">
        <f t="shared" si="3"/>
        <v>0</v>
      </c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" t="e">
        <f t="shared" si="0"/>
        <v>#DIV/0!</v>
      </c>
      <c r="BS37" s="5" t="e">
        <f t="shared" ref="BS37:BS42" si="8">BR37/(0.0734*(POWER(F37,0.656)))</f>
        <v>#DIV/0!</v>
      </c>
    </row>
    <row r="38" spans="1:71">
      <c r="A38" s="8">
        <v>6</v>
      </c>
      <c r="B38" s="8"/>
      <c r="C38" s="8" t="s">
        <v>84</v>
      </c>
      <c r="D38" s="9" t="s">
        <v>66</v>
      </c>
      <c r="E38" s="3">
        <v>46.3</v>
      </c>
      <c r="F38" s="3">
        <v>261</v>
      </c>
      <c r="H38" s="3">
        <v>7.44</v>
      </c>
      <c r="I38" s="3">
        <v>219.5</v>
      </c>
      <c r="J38" s="3">
        <v>141.9</v>
      </c>
      <c r="K38" s="3">
        <v>3.94</v>
      </c>
      <c r="L38" s="3">
        <v>1.11</v>
      </c>
      <c r="M38" s="3">
        <v>110</v>
      </c>
      <c r="N38" s="3">
        <v>3.8</v>
      </c>
      <c r="O38" s="3">
        <v>1.35</v>
      </c>
      <c r="P38" s="3">
        <v>7.6</v>
      </c>
      <c r="Q38" s="3">
        <v>19.9</v>
      </c>
      <c r="R38" s="3">
        <v>99.5</v>
      </c>
      <c r="AD38" s="3">
        <v>51</v>
      </c>
      <c r="AE38" s="3">
        <v>0.65</v>
      </c>
      <c r="AF38" s="3">
        <f t="shared" si="1"/>
        <v>0.0300618921308576</v>
      </c>
      <c r="AG38" s="3">
        <f t="shared" si="2"/>
        <v>4.21817126436782</v>
      </c>
      <c r="AH38" s="3">
        <f t="shared" si="3"/>
        <v>-1.35</v>
      </c>
      <c r="BO38" s="3">
        <f t="shared" si="0"/>
        <v>0</v>
      </c>
      <c r="BS38" s="5">
        <f t="shared" si="8"/>
        <v>0</v>
      </c>
    </row>
    <row r="39" spans="1:71">
      <c r="A39" s="10"/>
      <c r="B39" s="10"/>
      <c r="C39" s="10"/>
      <c r="D39" s="9" t="s">
        <v>67</v>
      </c>
      <c r="F39" s="3">
        <v>261</v>
      </c>
      <c r="H39" s="21">
        <v>7.33</v>
      </c>
      <c r="I39" s="21">
        <v>237.3</v>
      </c>
      <c r="J39" s="21">
        <v>145.6</v>
      </c>
      <c r="K39" s="21">
        <v>3.78</v>
      </c>
      <c r="L39" s="21">
        <v>1.05</v>
      </c>
      <c r="M39" s="21">
        <v>114</v>
      </c>
      <c r="N39" s="21">
        <v>5.6</v>
      </c>
      <c r="O39" s="21">
        <v>1.31</v>
      </c>
      <c r="P39" s="21">
        <v>7.9</v>
      </c>
      <c r="Q39" s="21">
        <v>20.5</v>
      </c>
      <c r="R39" s="21">
        <v>99.5</v>
      </c>
      <c r="S39" s="3">
        <v>7.339</v>
      </c>
      <c r="T39" s="3">
        <v>123.1</v>
      </c>
      <c r="U39" s="21">
        <v>142.7</v>
      </c>
      <c r="V39" s="12">
        <v>3.65</v>
      </c>
      <c r="W39" s="12">
        <v>1.04</v>
      </c>
      <c r="X39" s="12">
        <v>112</v>
      </c>
      <c r="Y39" s="12">
        <v>5.3</v>
      </c>
      <c r="Z39" s="12">
        <v>1.28</v>
      </c>
      <c r="AA39" s="3">
        <v>7.9</v>
      </c>
      <c r="AB39" s="3">
        <v>20.2</v>
      </c>
      <c r="AC39" s="12">
        <v>98.3</v>
      </c>
      <c r="AD39" s="3">
        <v>32</v>
      </c>
      <c r="AE39" s="3">
        <v>0.65</v>
      </c>
      <c r="AF39" s="3">
        <f t="shared" si="1"/>
        <v>0.0188623636899499</v>
      </c>
      <c r="AG39" s="3">
        <f t="shared" si="2"/>
        <v>0.913295325670498</v>
      </c>
      <c r="AH39" s="3">
        <f t="shared" si="3"/>
        <v>-0.03</v>
      </c>
      <c r="BO39" s="3">
        <f t="shared" si="0"/>
        <v>0</v>
      </c>
      <c r="BS39" s="5">
        <f t="shared" si="8"/>
        <v>0</v>
      </c>
    </row>
    <row r="40" spans="1:71">
      <c r="A40" s="10"/>
      <c r="B40" s="10"/>
      <c r="C40" s="10"/>
      <c r="D40" s="9" t="s">
        <v>68</v>
      </c>
      <c r="F40" s="3">
        <v>261</v>
      </c>
      <c r="H40" s="12">
        <v>7.321</v>
      </c>
      <c r="I40" s="12">
        <v>250.3</v>
      </c>
      <c r="J40" s="12">
        <v>138.9</v>
      </c>
      <c r="K40" s="25">
        <v>3.59</v>
      </c>
      <c r="L40" s="12">
        <v>1.25</v>
      </c>
      <c r="M40" s="12">
        <v>110</v>
      </c>
      <c r="N40" s="12">
        <v>10.9</v>
      </c>
      <c r="O40" s="12">
        <v>1.31</v>
      </c>
      <c r="P40" s="24">
        <v>8</v>
      </c>
      <c r="Q40" s="12">
        <v>18.5</v>
      </c>
      <c r="R40" s="12">
        <v>98.8</v>
      </c>
      <c r="S40" s="30">
        <v>7.333</v>
      </c>
      <c r="T40" s="12">
        <v>116.9</v>
      </c>
      <c r="U40" s="12">
        <v>141</v>
      </c>
      <c r="V40" s="12">
        <v>3.65</v>
      </c>
      <c r="W40" s="12">
        <v>1.23</v>
      </c>
      <c r="X40" s="12">
        <v>111</v>
      </c>
      <c r="Y40" s="12">
        <v>11.1</v>
      </c>
      <c r="Z40" s="12">
        <v>1.48</v>
      </c>
      <c r="AA40" s="24">
        <v>8</v>
      </c>
      <c r="AB40" s="12">
        <v>19.7</v>
      </c>
      <c r="AC40" s="12">
        <v>98</v>
      </c>
      <c r="AD40" s="3">
        <v>72</v>
      </c>
      <c r="AE40" s="3">
        <v>1.25</v>
      </c>
      <c r="AF40" s="3">
        <f t="shared" si="1"/>
        <v>0.0220689655172414</v>
      </c>
      <c r="AG40" s="3">
        <f t="shared" si="2"/>
        <v>2.02162835249042</v>
      </c>
      <c r="AH40" s="3">
        <f t="shared" si="3"/>
        <v>0.17</v>
      </c>
      <c r="BO40" s="3">
        <f t="shared" si="0"/>
        <v>0</v>
      </c>
      <c r="BS40" s="5">
        <f t="shared" si="8"/>
        <v>0</v>
      </c>
    </row>
    <row r="41" spans="1:71">
      <c r="A41" s="10"/>
      <c r="B41" s="10"/>
      <c r="C41" s="10"/>
      <c r="D41" s="9" t="s">
        <v>69</v>
      </c>
      <c r="F41" s="3">
        <v>261</v>
      </c>
      <c r="H41" s="12">
        <v>7.345</v>
      </c>
      <c r="I41" s="12">
        <v>246.8</v>
      </c>
      <c r="J41" s="12">
        <v>140.3</v>
      </c>
      <c r="K41" s="12">
        <v>3.79</v>
      </c>
      <c r="L41" s="12">
        <v>1.21</v>
      </c>
      <c r="M41" s="12">
        <v>111</v>
      </c>
      <c r="N41" s="12">
        <v>10</v>
      </c>
      <c r="O41" s="12">
        <v>2.01</v>
      </c>
      <c r="P41" s="12">
        <v>8</v>
      </c>
      <c r="Q41" s="12">
        <v>17.4</v>
      </c>
      <c r="R41" s="12">
        <v>99.5</v>
      </c>
      <c r="S41" s="3">
        <v>7.338</v>
      </c>
      <c r="T41" s="12">
        <v>145.2</v>
      </c>
      <c r="U41" s="12">
        <v>141.7</v>
      </c>
      <c r="V41" s="12">
        <v>3.81</v>
      </c>
      <c r="W41" s="12">
        <v>1.188</v>
      </c>
      <c r="X41" s="12">
        <v>112</v>
      </c>
      <c r="Y41" s="12">
        <v>10.3</v>
      </c>
      <c r="Z41" s="12">
        <v>2.14</v>
      </c>
      <c r="AA41" s="12">
        <v>8</v>
      </c>
      <c r="AB41" s="12">
        <v>19.5</v>
      </c>
      <c r="AC41" s="12">
        <v>98.7</v>
      </c>
      <c r="AD41" s="3">
        <v>75</v>
      </c>
      <c r="AE41" s="3">
        <v>1.44</v>
      </c>
      <c r="AF41" s="3">
        <f t="shared" si="1"/>
        <v>0.0199553001277139</v>
      </c>
      <c r="AG41" s="3">
        <f t="shared" si="2"/>
        <v>1.78502620689655</v>
      </c>
      <c r="AH41" s="3">
        <f t="shared" si="3"/>
        <v>0.13</v>
      </c>
      <c r="BO41" s="3">
        <f t="shared" si="0"/>
        <v>0</v>
      </c>
      <c r="BS41" s="5">
        <f t="shared" si="8"/>
        <v>0</v>
      </c>
    </row>
    <row r="42" s="2" customFormat="1" spans="1:71">
      <c r="A42" s="10"/>
      <c r="B42" s="10"/>
      <c r="C42" s="10"/>
      <c r="D42" s="9" t="s">
        <v>85</v>
      </c>
      <c r="E42" s="3"/>
      <c r="F42" s="3">
        <v>261</v>
      </c>
      <c r="G42" s="3"/>
      <c r="H42" s="3">
        <v>7.327</v>
      </c>
      <c r="I42" s="12">
        <v>274.3</v>
      </c>
      <c r="J42" s="12">
        <v>142.3</v>
      </c>
      <c r="K42" s="12">
        <v>4.08</v>
      </c>
      <c r="L42" s="12">
        <v>1.19</v>
      </c>
      <c r="M42" s="12">
        <v>112</v>
      </c>
      <c r="N42" s="12">
        <v>8.1</v>
      </c>
      <c r="O42" s="12">
        <v>2.23</v>
      </c>
      <c r="P42" s="12">
        <v>8</v>
      </c>
      <c r="Q42" s="12">
        <v>17.6</v>
      </c>
      <c r="R42" s="12">
        <v>99.6</v>
      </c>
      <c r="S42" s="3">
        <v>7.319</v>
      </c>
      <c r="T42" s="12">
        <v>122.5</v>
      </c>
      <c r="U42" s="12">
        <v>142.6</v>
      </c>
      <c r="V42" s="12">
        <v>4.1</v>
      </c>
      <c r="W42" s="12">
        <v>1.18</v>
      </c>
      <c r="X42" s="12">
        <v>112</v>
      </c>
      <c r="Y42" s="12">
        <v>8.2</v>
      </c>
      <c r="Z42" s="12">
        <v>2.4</v>
      </c>
      <c r="AA42" s="12">
        <v>8</v>
      </c>
      <c r="AB42" s="12">
        <v>18.3</v>
      </c>
      <c r="AC42" s="12">
        <v>98.2</v>
      </c>
      <c r="AD42" s="3">
        <v>71</v>
      </c>
      <c r="AE42" s="3">
        <v>1.38</v>
      </c>
      <c r="AF42" s="3">
        <f t="shared" si="1"/>
        <v>0.0197123660392026</v>
      </c>
      <c r="AG42" s="3">
        <f t="shared" si="2"/>
        <v>2.5674767816092</v>
      </c>
      <c r="AH42" s="3">
        <f t="shared" si="3"/>
        <v>0.17</v>
      </c>
      <c r="BO42" s="3">
        <f t="shared" si="0"/>
        <v>0</v>
      </c>
      <c r="BR42" s="5"/>
      <c r="BS42" s="5">
        <f t="shared" si="8"/>
        <v>0</v>
      </c>
    </row>
    <row r="43" s="2" customFormat="1" spans="1:71">
      <c r="A43" s="10"/>
      <c r="B43" s="10"/>
      <c r="C43" s="10"/>
      <c r="D43" s="14" t="s">
        <v>71</v>
      </c>
      <c r="E43" s="3"/>
      <c r="F43" s="3">
        <v>261</v>
      </c>
      <c r="G43" s="3">
        <v>327</v>
      </c>
      <c r="H43" s="3">
        <v>7.338</v>
      </c>
      <c r="I43" s="12">
        <v>262.9</v>
      </c>
      <c r="J43" s="12">
        <v>143.4</v>
      </c>
      <c r="K43" s="12">
        <v>4.34</v>
      </c>
      <c r="L43" s="12">
        <v>1.15</v>
      </c>
      <c r="M43" s="12">
        <v>114</v>
      </c>
      <c r="N43" s="12">
        <v>6.6</v>
      </c>
      <c r="O43" s="12">
        <v>2.82</v>
      </c>
      <c r="P43" s="12">
        <v>8.8</v>
      </c>
      <c r="Q43" s="12">
        <v>17.4</v>
      </c>
      <c r="R43" s="12">
        <v>99.6</v>
      </c>
      <c r="S43" s="3">
        <v>7.361</v>
      </c>
      <c r="T43" s="12">
        <v>132.2</v>
      </c>
      <c r="U43" s="12">
        <v>142.3</v>
      </c>
      <c r="V43" s="12">
        <v>4.29</v>
      </c>
      <c r="W43" s="12">
        <v>1.14</v>
      </c>
      <c r="X43" s="12">
        <v>114</v>
      </c>
      <c r="Y43" s="12">
        <v>6.4</v>
      </c>
      <c r="Z43" s="12">
        <v>2.73</v>
      </c>
      <c r="AA43" s="12">
        <v>8.8</v>
      </c>
      <c r="AB43" s="12">
        <v>16.9</v>
      </c>
      <c r="AC43" s="12">
        <v>98.6</v>
      </c>
      <c r="AD43" s="3">
        <v>67</v>
      </c>
      <c r="AE43" s="3">
        <v>1.3</v>
      </c>
      <c r="AF43" s="3">
        <f t="shared" si="1"/>
        <v>0.0197465369879163</v>
      </c>
      <c r="AG43" s="3">
        <f t="shared" si="2"/>
        <v>2.07682222222222</v>
      </c>
      <c r="AH43" s="3">
        <f t="shared" si="3"/>
        <v>-0.0899999999999999</v>
      </c>
      <c r="BO43" s="3">
        <f t="shared" si="0"/>
        <v>0</v>
      </c>
      <c r="BR43" s="5"/>
      <c r="BS43" s="5"/>
    </row>
    <row r="44" spans="1:71">
      <c r="A44" s="15"/>
      <c r="B44" s="15"/>
      <c r="C44" s="15"/>
      <c r="D44" s="16" t="s">
        <v>72</v>
      </c>
      <c r="AF44" s="3" t="e">
        <f t="shared" si="1"/>
        <v>#DIV/0!</v>
      </c>
      <c r="AG44" s="3" t="e">
        <f t="shared" si="2"/>
        <v>#DIV/0!</v>
      </c>
      <c r="AH44" s="3">
        <f t="shared" si="3"/>
        <v>0</v>
      </c>
      <c r="BO44" s="3" t="e">
        <f t="shared" si="0"/>
        <v>#DIV/0!</v>
      </c>
      <c r="BS44" s="5" t="e">
        <f t="shared" ref="BS44:BS49" si="9">BR44/(0.0734*(POWER(F44,0.656)))</f>
        <v>#DIV/0!</v>
      </c>
    </row>
    <row r="45" spans="1:71">
      <c r="A45" s="8">
        <v>7</v>
      </c>
      <c r="B45" s="8"/>
      <c r="C45" s="8" t="s">
        <v>86</v>
      </c>
      <c r="D45" s="9" t="s">
        <v>66</v>
      </c>
      <c r="E45" s="3">
        <v>47.3</v>
      </c>
      <c r="F45" s="3">
        <v>259</v>
      </c>
      <c r="H45" s="3">
        <v>7.364</v>
      </c>
      <c r="I45" s="3">
        <v>270.4</v>
      </c>
      <c r="J45" s="3">
        <v>137.2</v>
      </c>
      <c r="K45" s="3">
        <v>3.38</v>
      </c>
      <c r="L45" s="3">
        <v>1.01</v>
      </c>
      <c r="M45" s="3">
        <v>109</v>
      </c>
      <c r="N45" s="3">
        <v>5.4</v>
      </c>
      <c r="O45" s="3">
        <v>1.08</v>
      </c>
      <c r="P45" s="3">
        <v>8.6</v>
      </c>
      <c r="Q45" s="3">
        <v>19</v>
      </c>
      <c r="R45" s="3">
        <v>99.6</v>
      </c>
      <c r="S45" s="3">
        <v>7.351</v>
      </c>
      <c r="T45" s="3">
        <v>94.2</v>
      </c>
      <c r="U45" s="3">
        <v>137.5</v>
      </c>
      <c r="V45" s="3">
        <v>3.39</v>
      </c>
      <c r="W45" s="3">
        <v>1.02</v>
      </c>
      <c r="X45" s="3">
        <v>109</v>
      </c>
      <c r="Y45" s="3">
        <v>5.4</v>
      </c>
      <c r="Z45" s="3">
        <v>1.02</v>
      </c>
      <c r="AA45" s="3">
        <v>8.6</v>
      </c>
      <c r="AB45" s="3">
        <v>20.3</v>
      </c>
      <c r="AC45" s="3">
        <v>96.9</v>
      </c>
      <c r="AD45" s="3">
        <v>47</v>
      </c>
      <c r="AE45" s="3">
        <v>0.64</v>
      </c>
      <c r="AF45" s="3">
        <f t="shared" si="1"/>
        <v>0.0283542471042471</v>
      </c>
      <c r="AG45" s="3">
        <f t="shared" si="2"/>
        <v>1.42661881081081</v>
      </c>
      <c r="AH45" s="3">
        <f t="shared" si="3"/>
        <v>-0.0600000000000001</v>
      </c>
      <c r="BO45" s="3">
        <f t="shared" si="0"/>
        <v>0</v>
      </c>
      <c r="BS45" s="5">
        <f t="shared" si="9"/>
        <v>0</v>
      </c>
    </row>
    <row r="46" spans="1:71">
      <c r="A46" s="10"/>
      <c r="B46" s="10"/>
      <c r="C46" s="10"/>
      <c r="D46" s="9" t="s">
        <v>67</v>
      </c>
      <c r="F46" s="3">
        <v>259</v>
      </c>
      <c r="H46" s="11">
        <v>7.323</v>
      </c>
      <c r="I46" s="21">
        <v>257.2</v>
      </c>
      <c r="J46" s="21">
        <v>136.1</v>
      </c>
      <c r="K46" s="21">
        <v>3.08</v>
      </c>
      <c r="L46" s="21">
        <v>1.5</v>
      </c>
      <c r="M46" s="21">
        <v>110</v>
      </c>
      <c r="N46" s="21">
        <v>11.2</v>
      </c>
      <c r="O46" s="21">
        <v>0.97</v>
      </c>
      <c r="P46" s="3">
        <v>8.6</v>
      </c>
      <c r="Q46" s="21">
        <v>19.5</v>
      </c>
      <c r="R46" s="21">
        <v>99.5</v>
      </c>
      <c r="S46" s="3">
        <v>7.294</v>
      </c>
      <c r="T46" s="3">
        <v>73.2</v>
      </c>
      <c r="U46" s="12">
        <v>136.6</v>
      </c>
      <c r="V46" s="12">
        <v>3.04</v>
      </c>
      <c r="W46" s="12">
        <v>1.5</v>
      </c>
      <c r="X46" s="12">
        <v>110</v>
      </c>
      <c r="Y46" s="12">
        <v>11.2</v>
      </c>
      <c r="Z46" s="12">
        <v>0.87</v>
      </c>
      <c r="AA46" s="3">
        <v>8.6</v>
      </c>
      <c r="AB46" s="3">
        <v>20.2</v>
      </c>
      <c r="AC46" s="12">
        <v>93.2</v>
      </c>
      <c r="AD46" s="3">
        <v>49</v>
      </c>
      <c r="AE46" s="3">
        <v>0.45</v>
      </c>
      <c r="AF46" s="3">
        <f t="shared" si="1"/>
        <v>0.042042042042042</v>
      </c>
      <c r="AG46" s="3">
        <f t="shared" si="2"/>
        <v>1.11718355212355</v>
      </c>
      <c r="AH46" s="3">
        <f t="shared" si="3"/>
        <v>-0.1</v>
      </c>
      <c r="BO46" s="3">
        <f t="shared" si="0"/>
        <v>0</v>
      </c>
      <c r="BS46" s="5">
        <f t="shared" si="9"/>
        <v>0</v>
      </c>
    </row>
    <row r="47" spans="1:71">
      <c r="A47" s="10"/>
      <c r="B47" s="10"/>
      <c r="C47" s="10"/>
      <c r="D47" s="9" t="s">
        <v>68</v>
      </c>
      <c r="F47" s="3">
        <v>259</v>
      </c>
      <c r="H47" s="12">
        <v>7.478</v>
      </c>
      <c r="I47" s="12">
        <v>303.1</v>
      </c>
      <c r="J47" s="12">
        <v>139.3</v>
      </c>
      <c r="K47" s="12">
        <v>3.3</v>
      </c>
      <c r="L47" s="12">
        <v>1.33</v>
      </c>
      <c r="M47" s="12">
        <v>112</v>
      </c>
      <c r="N47" s="12">
        <v>9.2</v>
      </c>
      <c r="O47" s="12">
        <v>1.53</v>
      </c>
      <c r="P47" s="24">
        <v>8.5</v>
      </c>
      <c r="Q47" s="12">
        <v>17.5</v>
      </c>
      <c r="R47" s="12">
        <v>99.7</v>
      </c>
      <c r="S47" s="30">
        <v>7.473</v>
      </c>
      <c r="T47" s="12">
        <v>143.6</v>
      </c>
      <c r="U47" s="12">
        <v>138.8</v>
      </c>
      <c r="V47" s="12">
        <v>3.21</v>
      </c>
      <c r="W47" s="12">
        <v>1.32</v>
      </c>
      <c r="X47" s="12">
        <v>112</v>
      </c>
      <c r="Y47" s="12">
        <v>8.8</v>
      </c>
      <c r="Z47" s="12">
        <v>1.62</v>
      </c>
      <c r="AA47" s="24">
        <v>8.5</v>
      </c>
      <c r="AB47" s="12">
        <v>17</v>
      </c>
      <c r="AC47" s="12">
        <v>99</v>
      </c>
      <c r="AD47" s="12">
        <v>52</v>
      </c>
      <c r="AE47" s="12">
        <v>1.06</v>
      </c>
      <c r="AF47" s="3">
        <f t="shared" si="1"/>
        <v>0.0189407736577548</v>
      </c>
      <c r="AG47" s="3">
        <f t="shared" si="2"/>
        <v>2.05624857142857</v>
      </c>
      <c r="AH47" s="3">
        <f t="shared" si="3"/>
        <v>0.0900000000000001</v>
      </c>
      <c r="BO47" s="3">
        <f t="shared" si="0"/>
        <v>0</v>
      </c>
      <c r="BS47" s="5">
        <f t="shared" si="9"/>
        <v>0</v>
      </c>
    </row>
    <row r="48" spans="1:71">
      <c r="A48" s="10"/>
      <c r="B48" s="10"/>
      <c r="C48" s="10"/>
      <c r="D48" s="9" t="s">
        <v>69</v>
      </c>
      <c r="F48" s="3">
        <v>259</v>
      </c>
      <c r="H48" s="3">
        <v>7.358</v>
      </c>
      <c r="I48" s="3">
        <v>279.7</v>
      </c>
      <c r="J48" s="12">
        <v>140.8</v>
      </c>
      <c r="K48" s="12">
        <v>3.27</v>
      </c>
      <c r="L48" s="12">
        <v>1.34</v>
      </c>
      <c r="M48" s="12">
        <v>112</v>
      </c>
      <c r="N48" s="12">
        <v>8.2</v>
      </c>
      <c r="O48" s="12">
        <v>1.85</v>
      </c>
      <c r="P48" s="3">
        <v>8.2</v>
      </c>
      <c r="Q48" s="3">
        <v>17.9</v>
      </c>
      <c r="R48" s="12">
        <v>99.6</v>
      </c>
      <c r="S48" s="3">
        <v>7.355</v>
      </c>
      <c r="T48" s="3">
        <v>130.5</v>
      </c>
      <c r="U48" s="12">
        <v>140.5</v>
      </c>
      <c r="V48" s="12">
        <v>3.23</v>
      </c>
      <c r="W48" s="12">
        <v>1.33</v>
      </c>
      <c r="X48" s="12">
        <v>112</v>
      </c>
      <c r="Y48" s="12">
        <v>8.2</v>
      </c>
      <c r="Z48" s="12">
        <v>1.83</v>
      </c>
      <c r="AA48" s="3">
        <v>8.2</v>
      </c>
      <c r="AB48" s="3">
        <v>18.1</v>
      </c>
      <c r="AC48" s="12">
        <v>98.5</v>
      </c>
      <c r="AD48" s="3">
        <v>51</v>
      </c>
      <c r="AE48" s="12">
        <v>1.05</v>
      </c>
      <c r="AF48" s="3">
        <f t="shared" si="1"/>
        <v>0.0187534473248759</v>
      </c>
      <c r="AG48" s="3">
        <f t="shared" si="2"/>
        <v>1.92408162162162</v>
      </c>
      <c r="AH48" s="3">
        <f t="shared" si="3"/>
        <v>-0.02</v>
      </c>
      <c r="BO48" s="3">
        <f t="shared" si="0"/>
        <v>0</v>
      </c>
      <c r="BS48" s="5">
        <f t="shared" si="9"/>
        <v>0</v>
      </c>
    </row>
    <row r="49" spans="1:71">
      <c r="A49" s="10"/>
      <c r="B49" s="10"/>
      <c r="C49" s="10"/>
      <c r="D49" s="13" t="s">
        <v>70</v>
      </c>
      <c r="F49" s="3">
        <v>259</v>
      </c>
      <c r="H49" s="3">
        <v>7.249</v>
      </c>
      <c r="I49" s="3">
        <v>286.3</v>
      </c>
      <c r="J49" s="12">
        <v>142</v>
      </c>
      <c r="K49" s="12">
        <v>3.57</v>
      </c>
      <c r="L49" s="12">
        <v>1.33</v>
      </c>
      <c r="M49" s="12">
        <v>112</v>
      </c>
      <c r="N49" s="12">
        <v>7.6</v>
      </c>
      <c r="O49" s="12">
        <v>1.56</v>
      </c>
      <c r="P49" s="3">
        <v>8</v>
      </c>
      <c r="Q49" s="3">
        <v>18.4</v>
      </c>
      <c r="R49" s="12">
        <v>99.6</v>
      </c>
      <c r="S49" s="3">
        <v>7.245</v>
      </c>
      <c r="T49" s="3">
        <v>131.8</v>
      </c>
      <c r="U49" s="12">
        <v>141.8</v>
      </c>
      <c r="V49" s="12">
        <v>3.56</v>
      </c>
      <c r="W49" s="12">
        <v>1.33</v>
      </c>
      <c r="X49" s="12">
        <v>112</v>
      </c>
      <c r="Y49" s="12">
        <v>7.4</v>
      </c>
      <c r="Z49" s="12">
        <v>1.62</v>
      </c>
      <c r="AA49" s="3">
        <v>8</v>
      </c>
      <c r="AB49" s="3">
        <v>18.6</v>
      </c>
      <c r="AC49" s="12">
        <v>98.2</v>
      </c>
      <c r="AD49" s="3">
        <v>51</v>
      </c>
      <c r="AE49" s="3">
        <v>1.05</v>
      </c>
      <c r="AF49" s="3">
        <f t="shared" si="1"/>
        <v>0.0187534473248759</v>
      </c>
      <c r="AG49" s="3">
        <f t="shared" si="2"/>
        <v>2.00253243243243</v>
      </c>
      <c r="AH49" s="3">
        <f t="shared" si="3"/>
        <v>0.0600000000000001</v>
      </c>
      <c r="BO49" s="3">
        <f t="shared" si="0"/>
        <v>0</v>
      </c>
      <c r="BS49" s="5">
        <f t="shared" si="9"/>
        <v>0</v>
      </c>
    </row>
    <row r="50" spans="1:67">
      <c r="A50" s="10"/>
      <c r="B50" s="10"/>
      <c r="C50" s="10"/>
      <c r="D50" s="14" t="s">
        <v>74</v>
      </c>
      <c r="F50" s="3">
        <v>259</v>
      </c>
      <c r="G50" s="3">
        <v>335</v>
      </c>
      <c r="H50" s="3">
        <v>7.457</v>
      </c>
      <c r="I50" s="3">
        <v>304.1</v>
      </c>
      <c r="J50" s="12">
        <v>141.3</v>
      </c>
      <c r="K50" s="12">
        <v>3.86</v>
      </c>
      <c r="L50" s="12">
        <v>1.27</v>
      </c>
      <c r="M50" s="12">
        <v>114</v>
      </c>
      <c r="N50" s="12">
        <v>7.8</v>
      </c>
      <c r="O50" s="12">
        <v>2.5</v>
      </c>
      <c r="P50" s="3">
        <v>7.8</v>
      </c>
      <c r="Q50" s="3">
        <v>15.4</v>
      </c>
      <c r="R50" s="12">
        <v>99.7</v>
      </c>
      <c r="S50" s="3">
        <v>7.455</v>
      </c>
      <c r="T50" s="3">
        <v>107.9</v>
      </c>
      <c r="U50" s="12">
        <v>142.1</v>
      </c>
      <c r="V50" s="12">
        <v>3.84</v>
      </c>
      <c r="W50" s="12">
        <v>1.26</v>
      </c>
      <c r="X50" s="12">
        <v>115</v>
      </c>
      <c r="Y50" s="12">
        <v>7.9</v>
      </c>
      <c r="Z50" s="12">
        <v>2.72</v>
      </c>
      <c r="AA50" s="3">
        <v>7.8</v>
      </c>
      <c r="AB50" s="3">
        <v>16.1</v>
      </c>
      <c r="AC50" s="12">
        <v>98.3</v>
      </c>
      <c r="AD50" s="3">
        <v>49</v>
      </c>
      <c r="AE50" s="3">
        <v>0.99</v>
      </c>
      <c r="AF50" s="3">
        <f t="shared" si="1"/>
        <v>0.0191100191100191</v>
      </c>
      <c r="AG50" s="3">
        <f t="shared" si="2"/>
        <v>2.3807886949807</v>
      </c>
      <c r="AH50" s="3">
        <f t="shared" si="3"/>
        <v>0.22</v>
      </c>
      <c r="BO50" s="3">
        <f t="shared" si="0"/>
        <v>0</v>
      </c>
    </row>
    <row r="51" spans="1:71">
      <c r="A51" s="15"/>
      <c r="B51" s="15"/>
      <c r="C51" s="15"/>
      <c r="D51" s="16" t="s">
        <v>72</v>
      </c>
      <c r="AF51" s="3" t="e">
        <f t="shared" si="1"/>
        <v>#DIV/0!</v>
      </c>
      <c r="AG51" s="3" t="e">
        <f t="shared" si="2"/>
        <v>#DIV/0!</v>
      </c>
      <c r="AH51" s="3">
        <f t="shared" si="3"/>
        <v>0</v>
      </c>
      <c r="BO51" s="3" t="e">
        <f t="shared" si="0"/>
        <v>#DIV/0!</v>
      </c>
      <c r="BS51" s="5" t="e">
        <f t="shared" ref="BS51:BS56" si="10">BR51/(0.0734*(POWER(E51,0.656)))</f>
        <v>#DIV/0!</v>
      </c>
    </row>
    <row r="52" spans="1:71">
      <c r="A52" s="8">
        <v>8</v>
      </c>
      <c r="B52" s="8"/>
      <c r="C52" s="8" t="s">
        <v>87</v>
      </c>
      <c r="D52" s="9" t="s">
        <v>66</v>
      </c>
      <c r="E52" s="3">
        <v>49.9</v>
      </c>
      <c r="F52" s="3">
        <v>218</v>
      </c>
      <c r="H52" s="3">
        <v>7.325</v>
      </c>
      <c r="I52" s="3">
        <v>292.7</v>
      </c>
      <c r="J52" s="3">
        <v>139</v>
      </c>
      <c r="K52" s="3">
        <v>4.54</v>
      </c>
      <c r="L52" s="3">
        <v>1.05</v>
      </c>
      <c r="M52" s="3">
        <v>114</v>
      </c>
      <c r="N52" s="3">
        <v>10.8</v>
      </c>
      <c r="O52" s="3">
        <v>1.03</v>
      </c>
      <c r="P52" s="3">
        <v>9.7</v>
      </c>
      <c r="Q52" s="3">
        <v>16.4</v>
      </c>
      <c r="R52" s="3">
        <v>99.6</v>
      </c>
      <c r="S52" s="3">
        <v>7.332</v>
      </c>
      <c r="T52" s="3">
        <v>109.5</v>
      </c>
      <c r="U52" s="3">
        <v>139.7</v>
      </c>
      <c r="V52" s="3">
        <v>4.52</v>
      </c>
      <c r="W52" s="3">
        <v>1.08</v>
      </c>
      <c r="X52" s="3">
        <v>114</v>
      </c>
      <c r="Y52" s="3">
        <v>10.5</v>
      </c>
      <c r="Z52" s="3">
        <v>0.89</v>
      </c>
      <c r="AA52" s="3">
        <v>9.7</v>
      </c>
      <c r="AB52" s="3">
        <v>15.6</v>
      </c>
      <c r="AC52" s="3">
        <v>97.8</v>
      </c>
      <c r="AD52" s="3">
        <v>46</v>
      </c>
      <c r="AE52" s="3">
        <v>0.4</v>
      </c>
      <c r="AF52" s="3">
        <f t="shared" si="1"/>
        <v>0.0527522935779817</v>
      </c>
      <c r="AG52" s="3">
        <f t="shared" si="2"/>
        <v>1.08498422018349</v>
      </c>
      <c r="AH52" s="3">
        <f t="shared" si="3"/>
        <v>-0.14</v>
      </c>
      <c r="BO52" s="3">
        <f t="shared" si="0"/>
        <v>0</v>
      </c>
      <c r="BS52" s="5">
        <f t="shared" si="10"/>
        <v>0</v>
      </c>
    </row>
    <row r="53" spans="1:71">
      <c r="A53" s="10"/>
      <c r="B53" s="10"/>
      <c r="C53" s="10"/>
      <c r="D53" s="9" t="s">
        <v>67</v>
      </c>
      <c r="E53" s="3">
        <v>49.9</v>
      </c>
      <c r="F53" s="3">
        <v>218</v>
      </c>
      <c r="H53" s="11">
        <v>7.327</v>
      </c>
      <c r="I53" s="21">
        <v>272</v>
      </c>
      <c r="J53" s="21">
        <v>138.9</v>
      </c>
      <c r="K53" s="21">
        <v>4.29</v>
      </c>
      <c r="L53" s="21">
        <v>1.45</v>
      </c>
      <c r="M53" s="21">
        <v>116</v>
      </c>
      <c r="N53" s="21">
        <v>10.3</v>
      </c>
      <c r="O53" s="21">
        <v>1.38</v>
      </c>
      <c r="P53" s="21">
        <v>9.7</v>
      </c>
      <c r="Q53" s="21">
        <v>15.8</v>
      </c>
      <c r="R53" s="21">
        <v>99.6</v>
      </c>
      <c r="S53" s="3">
        <v>7.329</v>
      </c>
      <c r="T53" s="3">
        <v>105.7</v>
      </c>
      <c r="U53" s="12">
        <v>139.2</v>
      </c>
      <c r="V53" s="12">
        <v>4.28</v>
      </c>
      <c r="W53" s="12">
        <v>1.47</v>
      </c>
      <c r="X53" s="12">
        <v>115</v>
      </c>
      <c r="Y53" s="12">
        <v>9.9</v>
      </c>
      <c r="Z53" s="12">
        <v>1.25</v>
      </c>
      <c r="AA53" s="3">
        <v>9.7</v>
      </c>
      <c r="AB53" s="3">
        <v>14.9</v>
      </c>
      <c r="AC53" s="12">
        <v>97.6</v>
      </c>
      <c r="AD53" s="3">
        <v>64</v>
      </c>
      <c r="AE53" s="12">
        <v>0.71</v>
      </c>
      <c r="AF53" s="3">
        <f t="shared" si="1"/>
        <v>0.0413490115001938</v>
      </c>
      <c r="AG53" s="3">
        <f t="shared" si="2"/>
        <v>1.76368559633028</v>
      </c>
      <c r="AH53" s="3">
        <f t="shared" si="3"/>
        <v>-0.13</v>
      </c>
      <c r="AI53" s="37">
        <v>8.8</v>
      </c>
      <c r="AJ53" s="37">
        <v>0.37</v>
      </c>
      <c r="AK53" s="37">
        <v>42.54</v>
      </c>
      <c r="AL53" s="37">
        <v>19.83</v>
      </c>
      <c r="AM53" s="37">
        <v>17.99</v>
      </c>
      <c r="AN53" s="37">
        <v>63.04</v>
      </c>
      <c r="AO53" s="37">
        <v>10</v>
      </c>
      <c r="AP53" s="37">
        <v>132</v>
      </c>
      <c r="AQ53" s="37">
        <v>135</v>
      </c>
      <c r="AR53" s="37">
        <v>220</v>
      </c>
      <c r="AS53" s="37">
        <v>288</v>
      </c>
      <c r="AT53" s="37">
        <v>110</v>
      </c>
      <c r="AU53" s="37">
        <v>8</v>
      </c>
      <c r="AV53" s="37">
        <v>38</v>
      </c>
      <c r="AW53" s="37">
        <v>146</v>
      </c>
      <c r="AX53" s="37">
        <v>1110</v>
      </c>
      <c r="AY53" s="37">
        <v>-1763</v>
      </c>
      <c r="AZ53" s="37">
        <v>41</v>
      </c>
      <c r="BA53" s="37">
        <v>44</v>
      </c>
      <c r="BB53" s="37">
        <v>93</v>
      </c>
      <c r="BC53" s="37">
        <v>76</v>
      </c>
      <c r="BD53" s="37">
        <v>19</v>
      </c>
      <c r="BE53" s="37">
        <v>1631</v>
      </c>
      <c r="BF53" s="37">
        <v>20</v>
      </c>
      <c r="BG53" s="37">
        <v>826</v>
      </c>
      <c r="BH53" s="37">
        <v>3772</v>
      </c>
      <c r="BI53" s="37">
        <v>0</v>
      </c>
      <c r="BJ53" s="37">
        <v>0</v>
      </c>
      <c r="BK53" s="37">
        <v>0</v>
      </c>
      <c r="BL53" s="37">
        <v>0</v>
      </c>
      <c r="BM53" s="37">
        <v>1164</v>
      </c>
      <c r="BN53" s="37">
        <v>87</v>
      </c>
      <c r="BO53" s="3">
        <f t="shared" si="0"/>
        <v>0.64972629188116</v>
      </c>
      <c r="BS53" s="5">
        <f t="shared" si="10"/>
        <v>0</v>
      </c>
    </row>
    <row r="54" spans="1:71">
      <c r="A54" s="10"/>
      <c r="B54" s="10"/>
      <c r="C54" s="10"/>
      <c r="D54" s="9" t="s">
        <v>68</v>
      </c>
      <c r="E54" s="3">
        <v>49.9</v>
      </c>
      <c r="F54" s="3">
        <v>218</v>
      </c>
      <c r="H54" s="12">
        <v>7.295</v>
      </c>
      <c r="I54" s="12">
        <v>276.4</v>
      </c>
      <c r="J54" s="12">
        <v>141.7</v>
      </c>
      <c r="K54" s="12">
        <v>4.29</v>
      </c>
      <c r="L54" s="12">
        <v>1.37</v>
      </c>
      <c r="M54" s="12">
        <v>117</v>
      </c>
      <c r="N54" s="12">
        <v>8.4</v>
      </c>
      <c r="O54" s="12">
        <v>0.96</v>
      </c>
      <c r="P54" s="24">
        <v>9.7</v>
      </c>
      <c r="Q54" s="12">
        <v>15.7</v>
      </c>
      <c r="R54" s="12">
        <v>99.6</v>
      </c>
      <c r="S54" s="30">
        <v>7.311</v>
      </c>
      <c r="T54" s="12">
        <v>111.6</v>
      </c>
      <c r="U54" s="12">
        <v>141.9</v>
      </c>
      <c r="V54" s="12">
        <v>4.31</v>
      </c>
      <c r="W54" s="12">
        <v>1.37</v>
      </c>
      <c r="X54" s="12">
        <v>118</v>
      </c>
      <c r="Y54" s="12">
        <v>8.4</v>
      </c>
      <c r="Z54" s="12">
        <v>0.91</v>
      </c>
      <c r="AA54" s="12">
        <v>9.6</v>
      </c>
      <c r="AB54" s="12">
        <v>16</v>
      </c>
      <c r="AC54" s="12">
        <v>97.8</v>
      </c>
      <c r="AD54" s="12">
        <v>52</v>
      </c>
      <c r="AE54" s="12">
        <v>0.51</v>
      </c>
      <c r="AF54" s="3">
        <f t="shared" si="1"/>
        <v>0.0467710019787732</v>
      </c>
      <c r="AG54" s="3">
        <f t="shared" si="2"/>
        <v>1.28057163302752</v>
      </c>
      <c r="AH54" s="3">
        <f t="shared" si="3"/>
        <v>-0.0499999999999999</v>
      </c>
      <c r="BO54" s="3">
        <f t="shared" si="0"/>
        <v>0</v>
      </c>
      <c r="BS54" s="5">
        <f t="shared" si="10"/>
        <v>0</v>
      </c>
    </row>
    <row r="55" spans="1:71">
      <c r="A55" s="10"/>
      <c r="B55" s="10"/>
      <c r="C55" s="10"/>
      <c r="D55" s="9" t="s">
        <v>69</v>
      </c>
      <c r="E55" s="3">
        <v>49.9</v>
      </c>
      <c r="F55" s="3">
        <v>218</v>
      </c>
      <c r="H55" s="3">
        <v>7.386</v>
      </c>
      <c r="I55" s="3">
        <v>271.3</v>
      </c>
      <c r="J55" s="12">
        <v>141.9</v>
      </c>
      <c r="K55" s="12">
        <v>4.44</v>
      </c>
      <c r="L55" s="12">
        <v>1.33</v>
      </c>
      <c r="M55" s="12">
        <v>119</v>
      </c>
      <c r="N55" s="12">
        <v>7.5</v>
      </c>
      <c r="O55" s="12">
        <v>1.63</v>
      </c>
      <c r="P55" s="3">
        <v>9.6</v>
      </c>
      <c r="Q55" s="3">
        <v>14</v>
      </c>
      <c r="R55" s="12">
        <v>99.6</v>
      </c>
      <c r="S55" s="3">
        <v>7.368</v>
      </c>
      <c r="T55" s="3">
        <v>103.3</v>
      </c>
      <c r="U55" s="12">
        <v>141.9</v>
      </c>
      <c r="V55" s="12">
        <v>4.45</v>
      </c>
      <c r="W55" s="12">
        <v>1.33</v>
      </c>
      <c r="X55" s="12">
        <v>119</v>
      </c>
      <c r="Y55" s="12">
        <v>7.5</v>
      </c>
      <c r="Z55" s="12">
        <v>1.6</v>
      </c>
      <c r="AA55" s="3">
        <v>9.6</v>
      </c>
      <c r="AB55" s="3">
        <v>14.5</v>
      </c>
      <c r="AC55" s="12">
        <v>97.7</v>
      </c>
      <c r="AD55" s="3">
        <v>53</v>
      </c>
      <c r="AE55" s="3">
        <v>0.25</v>
      </c>
      <c r="AF55" s="3">
        <f t="shared" si="1"/>
        <v>0.0972477064220183</v>
      </c>
      <c r="AG55" s="3">
        <f t="shared" si="2"/>
        <v>0.625277064220183</v>
      </c>
      <c r="AH55" s="3">
        <f t="shared" si="3"/>
        <v>-0.0299999999999998</v>
      </c>
      <c r="BO55" s="3">
        <f t="shared" si="0"/>
        <v>0</v>
      </c>
      <c r="BS55" s="5">
        <f t="shared" si="10"/>
        <v>0</v>
      </c>
    </row>
    <row r="56" spans="1:71">
      <c r="A56" s="10"/>
      <c r="B56" s="10"/>
      <c r="C56" s="10"/>
      <c r="D56" s="9" t="s">
        <v>70</v>
      </c>
      <c r="E56" s="3">
        <v>49.9</v>
      </c>
      <c r="F56" s="3">
        <v>218</v>
      </c>
      <c r="H56" s="3">
        <v>7.37</v>
      </c>
      <c r="I56" s="3">
        <v>180.8</v>
      </c>
      <c r="J56" s="12">
        <v>143.2</v>
      </c>
      <c r="K56" s="12">
        <v>4.83</v>
      </c>
      <c r="L56" s="12">
        <v>1.29</v>
      </c>
      <c r="M56" s="12">
        <v>120</v>
      </c>
      <c r="N56" s="12">
        <v>6.5</v>
      </c>
      <c r="O56" s="12">
        <v>2.37</v>
      </c>
      <c r="P56" s="3">
        <v>9.6</v>
      </c>
      <c r="Q56" s="3">
        <v>13.4</v>
      </c>
      <c r="R56" s="12">
        <v>99.2</v>
      </c>
      <c r="S56" s="3">
        <v>7.361</v>
      </c>
      <c r="T56" s="3">
        <v>95.8</v>
      </c>
      <c r="U56" s="12">
        <v>143</v>
      </c>
      <c r="V56" s="12">
        <v>4.8</v>
      </c>
      <c r="W56" s="12">
        <v>1.3</v>
      </c>
      <c r="X56" s="12">
        <v>120</v>
      </c>
      <c r="Y56" s="12">
        <v>6.2</v>
      </c>
      <c r="Z56" s="12">
        <v>2.29</v>
      </c>
      <c r="AA56" s="3">
        <v>9.6</v>
      </c>
      <c r="AB56" s="3">
        <v>12.9</v>
      </c>
      <c r="AC56" s="12">
        <v>97.2</v>
      </c>
      <c r="AF56" s="3" t="e">
        <f t="shared" si="1"/>
        <v>#DIV/0!</v>
      </c>
      <c r="AG56" s="3">
        <f t="shared" si="2"/>
        <v>0</v>
      </c>
      <c r="AH56" s="3">
        <f t="shared" si="3"/>
        <v>-0.0800000000000001</v>
      </c>
      <c r="BO56" s="3">
        <f t="shared" si="0"/>
        <v>0</v>
      </c>
      <c r="BS56" s="5">
        <f t="shared" si="10"/>
        <v>0</v>
      </c>
    </row>
    <row r="57" spans="1:67">
      <c r="A57" s="10"/>
      <c r="B57" s="10"/>
      <c r="C57" s="10"/>
      <c r="D57" s="9" t="s">
        <v>74</v>
      </c>
      <c r="E57" s="3">
        <v>49.9</v>
      </c>
      <c r="F57" s="3">
        <v>218</v>
      </c>
      <c r="G57" s="3">
        <v>312</v>
      </c>
      <c r="H57" s="3">
        <v>7.315</v>
      </c>
      <c r="I57" s="3">
        <v>257.3</v>
      </c>
      <c r="J57" s="12">
        <v>143.8</v>
      </c>
      <c r="K57" s="12">
        <v>5.24</v>
      </c>
      <c r="L57" s="12">
        <v>1.26</v>
      </c>
      <c r="M57" s="12">
        <v>121</v>
      </c>
      <c r="N57" s="12">
        <v>9.4</v>
      </c>
      <c r="O57" s="12">
        <v>2.59</v>
      </c>
      <c r="P57" s="3">
        <v>9.7</v>
      </c>
      <c r="Q57" s="3">
        <v>13.1</v>
      </c>
      <c r="R57" s="12">
        <v>99.5</v>
      </c>
      <c r="S57" s="3">
        <v>7.302</v>
      </c>
      <c r="T57" s="3">
        <v>110.3</v>
      </c>
      <c r="U57" s="12">
        <v>144.1</v>
      </c>
      <c r="V57" s="12">
        <v>5.25</v>
      </c>
      <c r="W57" s="12">
        <v>1.27</v>
      </c>
      <c r="X57" s="12">
        <v>120</v>
      </c>
      <c r="Y57" s="12">
        <v>9.2</v>
      </c>
      <c r="Z57" s="12">
        <v>2.29</v>
      </c>
      <c r="AA57" s="3">
        <v>9.7</v>
      </c>
      <c r="AB57" s="3">
        <v>13.1</v>
      </c>
      <c r="AC57" s="12">
        <v>97.7</v>
      </c>
      <c r="AD57" s="3">
        <v>65</v>
      </c>
      <c r="AE57" s="3">
        <v>1.25</v>
      </c>
      <c r="AF57" s="3">
        <f t="shared" si="1"/>
        <v>0.0238532110091743</v>
      </c>
      <c r="AG57" s="3">
        <f t="shared" si="2"/>
        <v>2.7471123853211</v>
      </c>
      <c r="AH57" s="3">
        <f t="shared" si="3"/>
        <v>-0.3</v>
      </c>
      <c r="AI57" s="37">
        <v>2.88</v>
      </c>
      <c r="AJ57" s="37">
        <v>0.37</v>
      </c>
      <c r="AK57" s="37">
        <v>37.72</v>
      </c>
      <c r="AL57" s="37">
        <v>-8.76</v>
      </c>
      <c r="AM57" s="37">
        <v>6.99</v>
      </c>
      <c r="AN57" s="37">
        <v>110.71</v>
      </c>
      <c r="AO57" s="37">
        <v>15</v>
      </c>
      <c r="AP57" s="37">
        <v>102</v>
      </c>
      <c r="AQ57" s="37">
        <v>123</v>
      </c>
      <c r="AR57" s="37">
        <v>308</v>
      </c>
      <c r="AS57" s="37">
        <v>111</v>
      </c>
      <c r="AT57" s="37">
        <v>104</v>
      </c>
      <c r="AU57" s="37">
        <v>13</v>
      </c>
      <c r="AV57" s="37">
        <v>61</v>
      </c>
      <c r="AW57" s="37">
        <v>144</v>
      </c>
      <c r="AX57" s="37">
        <v>783</v>
      </c>
      <c r="AY57" s="37">
        <v>-1176</v>
      </c>
      <c r="AZ57" s="37">
        <v>27</v>
      </c>
      <c r="BA57" s="37">
        <v>50</v>
      </c>
      <c r="BB57" s="37">
        <v>154</v>
      </c>
      <c r="BC57" s="37">
        <v>144</v>
      </c>
      <c r="BD57" s="37">
        <v>14</v>
      </c>
      <c r="BE57" s="37">
        <v>1299</v>
      </c>
      <c r="BF57" s="37">
        <v>9</v>
      </c>
      <c r="BG57" s="37">
        <v>741</v>
      </c>
      <c r="BH57" s="37">
        <v>7244</v>
      </c>
      <c r="BI57" s="37">
        <v>0</v>
      </c>
      <c r="BJ57" s="37">
        <v>0</v>
      </c>
      <c r="BK57" s="37">
        <v>0</v>
      </c>
      <c r="BL57" s="37">
        <v>0</v>
      </c>
      <c r="BM57" s="37">
        <v>1190</v>
      </c>
      <c r="BN57" s="37">
        <v>96</v>
      </c>
      <c r="BO57" s="3">
        <f t="shared" si="0"/>
        <v>0.517470541479845</v>
      </c>
    </row>
    <row r="58" spans="1:71">
      <c r="A58" s="15"/>
      <c r="B58" s="15"/>
      <c r="C58" s="15"/>
      <c r="D58" s="16" t="s">
        <v>72</v>
      </c>
      <c r="AF58" s="3" t="e">
        <f t="shared" si="1"/>
        <v>#DIV/0!</v>
      </c>
      <c r="AG58" s="3" t="e">
        <f t="shared" si="2"/>
        <v>#DIV/0!</v>
      </c>
      <c r="AH58" s="3">
        <f t="shared" si="3"/>
        <v>0</v>
      </c>
      <c r="AI58" s="38"/>
      <c r="AJ58" s="38"/>
      <c r="AK58" s="38"/>
      <c r="AL58" s="38"/>
      <c r="AM58" s="38"/>
      <c r="AN58" s="38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" t="e">
        <f t="shared" si="0"/>
        <v>#DIV/0!</v>
      </c>
      <c r="BS58" s="5" t="e">
        <f t="shared" ref="BS58:BS63" si="11">BR58/(0.0734*(POWER(E58,0.656)))</f>
        <v>#DIV/0!</v>
      </c>
    </row>
    <row r="59" spans="1:71">
      <c r="A59" s="8">
        <v>9</v>
      </c>
      <c r="B59" s="8"/>
      <c r="C59" s="8" t="s">
        <v>88</v>
      </c>
      <c r="D59" s="9" t="s">
        <v>66</v>
      </c>
      <c r="F59" s="3">
        <v>283</v>
      </c>
      <c r="H59" s="3">
        <v>7.467</v>
      </c>
      <c r="I59" s="3">
        <v>229</v>
      </c>
      <c r="J59" s="3">
        <v>138.1</v>
      </c>
      <c r="K59" s="3">
        <v>3.68</v>
      </c>
      <c r="L59" s="3">
        <v>1.08</v>
      </c>
      <c r="M59" s="3">
        <v>104</v>
      </c>
      <c r="N59" s="3">
        <v>2.9</v>
      </c>
      <c r="O59" s="3">
        <v>0.59</v>
      </c>
      <c r="P59" s="3">
        <v>8.1</v>
      </c>
      <c r="Q59" s="3">
        <v>22.8</v>
      </c>
      <c r="R59" s="3">
        <v>99.6</v>
      </c>
      <c r="S59" s="3">
        <v>7.443</v>
      </c>
      <c r="T59" s="3">
        <v>78</v>
      </c>
      <c r="U59" s="3">
        <v>137.8</v>
      </c>
      <c r="V59" s="3">
        <v>3.66</v>
      </c>
      <c r="W59" s="3">
        <v>1.09</v>
      </c>
      <c r="X59" s="3">
        <v>104</v>
      </c>
      <c r="Y59" s="3">
        <v>2.7</v>
      </c>
      <c r="Z59" s="3">
        <v>0.56</v>
      </c>
      <c r="AA59" s="3">
        <v>8.1</v>
      </c>
      <c r="AB59" s="3">
        <v>22.3</v>
      </c>
      <c r="AC59" s="3">
        <v>96.1</v>
      </c>
      <c r="AD59" s="3">
        <v>51</v>
      </c>
      <c r="AE59" s="3">
        <v>0.7</v>
      </c>
      <c r="AF59" s="3">
        <f t="shared" si="1"/>
        <v>0.0257445734477537</v>
      </c>
      <c r="AG59" s="3">
        <f t="shared" si="2"/>
        <v>1.25181024734982</v>
      </c>
      <c r="AH59" s="3">
        <f t="shared" si="3"/>
        <v>-0.0299999999999999</v>
      </c>
      <c r="BO59" s="3">
        <f t="shared" si="0"/>
        <v>0</v>
      </c>
      <c r="BS59" s="5" t="e">
        <f t="shared" si="11"/>
        <v>#DIV/0!</v>
      </c>
    </row>
    <row r="60" spans="1:71">
      <c r="A60" s="10"/>
      <c r="B60" s="10"/>
      <c r="C60" s="10"/>
      <c r="D60" s="9" t="s">
        <v>67</v>
      </c>
      <c r="F60" s="3">
        <v>283</v>
      </c>
      <c r="H60" s="3">
        <v>7.367</v>
      </c>
      <c r="I60" s="3">
        <v>260.9</v>
      </c>
      <c r="J60" s="3">
        <v>137.9</v>
      </c>
      <c r="K60" s="3">
        <v>3.37</v>
      </c>
      <c r="L60" s="3">
        <v>1.67</v>
      </c>
      <c r="M60" s="3">
        <v>105</v>
      </c>
      <c r="N60" s="3">
        <v>9.7</v>
      </c>
      <c r="O60" s="3">
        <v>0.43</v>
      </c>
      <c r="P60" s="3">
        <v>8.2</v>
      </c>
      <c r="Q60" s="3">
        <v>22.2</v>
      </c>
      <c r="R60" s="3">
        <v>99.6</v>
      </c>
      <c r="S60" s="3">
        <v>7.35</v>
      </c>
      <c r="T60" s="3">
        <v>90.8</v>
      </c>
      <c r="U60" s="3">
        <v>138.3</v>
      </c>
      <c r="V60" s="3">
        <v>3.36</v>
      </c>
      <c r="W60" s="3">
        <v>1.62</v>
      </c>
      <c r="X60" s="3">
        <v>105</v>
      </c>
      <c r="Y60" s="3">
        <v>9.7</v>
      </c>
      <c r="Z60" s="3">
        <v>0.42</v>
      </c>
      <c r="AA60" s="3">
        <v>8.2</v>
      </c>
      <c r="AB60" s="3">
        <v>22.5</v>
      </c>
      <c r="AC60" s="3">
        <v>96.6</v>
      </c>
      <c r="AD60" s="3">
        <v>78</v>
      </c>
      <c r="AE60" s="3">
        <v>0.85</v>
      </c>
      <c r="AF60" s="3">
        <f t="shared" si="1"/>
        <v>0.0324256911245063</v>
      </c>
      <c r="AG60" s="3">
        <f t="shared" si="2"/>
        <v>1.68280176678445</v>
      </c>
      <c r="AH60" s="3">
        <f t="shared" si="3"/>
        <v>-0.01</v>
      </c>
      <c r="AI60" s="4">
        <v>15.07</v>
      </c>
      <c r="AJ60" s="4">
        <v>0.2</v>
      </c>
      <c r="AK60" s="4">
        <v>69.2</v>
      </c>
      <c r="AL60" s="4">
        <v>85.96</v>
      </c>
      <c r="AM60" s="4">
        <v>10.97</v>
      </c>
      <c r="AN60" s="4">
        <v>65.72</v>
      </c>
      <c r="AO60" s="3">
        <v>5</v>
      </c>
      <c r="AP60" s="3">
        <v>119</v>
      </c>
      <c r="AQ60" s="3">
        <v>122</v>
      </c>
      <c r="AR60" s="3">
        <v>136</v>
      </c>
      <c r="AS60" s="3">
        <v>253</v>
      </c>
      <c r="AT60" s="3">
        <v>101</v>
      </c>
      <c r="AU60" s="3">
        <v>2</v>
      </c>
      <c r="AV60" s="3">
        <v>53</v>
      </c>
      <c r="AW60" s="3">
        <v>150</v>
      </c>
      <c r="AX60" s="3">
        <v>2027</v>
      </c>
      <c r="AY60" s="3">
        <v>-1697</v>
      </c>
      <c r="AZ60" s="3">
        <v>44</v>
      </c>
      <c r="BA60" s="3">
        <v>32</v>
      </c>
      <c r="BB60" s="3">
        <v>90</v>
      </c>
      <c r="BC60" s="3">
        <v>68</v>
      </c>
      <c r="BD60" s="3">
        <v>25</v>
      </c>
      <c r="BE60" s="3">
        <v>2527</v>
      </c>
      <c r="BF60" s="3">
        <v>27</v>
      </c>
      <c r="BG60" s="3">
        <v>1223</v>
      </c>
      <c r="BH60" s="3">
        <v>4583</v>
      </c>
      <c r="BI60" s="3">
        <v>1</v>
      </c>
      <c r="BJ60" s="3">
        <v>0</v>
      </c>
      <c r="BK60" s="3">
        <v>0</v>
      </c>
      <c r="BL60" s="3">
        <v>0</v>
      </c>
      <c r="BM60" s="3">
        <v>1481</v>
      </c>
      <c r="BN60" s="3">
        <v>101</v>
      </c>
      <c r="BO60" s="3">
        <f t="shared" si="0"/>
        <v>0.848276196257416</v>
      </c>
      <c r="BS60" s="5" t="e">
        <f t="shared" si="11"/>
        <v>#DIV/0!</v>
      </c>
    </row>
    <row r="61" spans="1:71">
      <c r="A61" s="10"/>
      <c r="B61" s="10"/>
      <c r="C61" s="10"/>
      <c r="D61" s="9" t="s">
        <v>68</v>
      </c>
      <c r="F61" s="3">
        <v>283</v>
      </c>
      <c r="H61" s="3">
        <v>7.454</v>
      </c>
      <c r="I61" s="3">
        <v>273.2</v>
      </c>
      <c r="J61" s="3">
        <v>139.3</v>
      </c>
      <c r="K61" s="3">
        <v>3.67</v>
      </c>
      <c r="L61" s="3">
        <v>1.48</v>
      </c>
      <c r="M61" s="3">
        <v>106</v>
      </c>
      <c r="N61" s="3">
        <v>6.8</v>
      </c>
      <c r="O61" s="3">
        <v>0.75</v>
      </c>
      <c r="P61" s="3">
        <v>7.9</v>
      </c>
      <c r="Q61" s="3">
        <v>22.5</v>
      </c>
      <c r="R61" s="3">
        <v>99.7</v>
      </c>
      <c r="S61" s="3">
        <v>7.447</v>
      </c>
      <c r="T61" s="3">
        <v>98</v>
      </c>
      <c r="U61" s="3">
        <v>138.8</v>
      </c>
      <c r="V61" s="3">
        <v>3.71</v>
      </c>
      <c r="W61" s="3">
        <v>1.47</v>
      </c>
      <c r="X61" s="3">
        <v>106</v>
      </c>
      <c r="Y61" s="3">
        <v>6.5</v>
      </c>
      <c r="Z61" s="3">
        <v>0.8</v>
      </c>
      <c r="AA61" s="3">
        <v>7.9</v>
      </c>
      <c r="AB61" s="3">
        <v>22.4</v>
      </c>
      <c r="AC61" s="3">
        <v>97.7</v>
      </c>
      <c r="AD61" s="12">
        <v>69</v>
      </c>
      <c r="AE61" s="3">
        <v>1.36</v>
      </c>
      <c r="AF61" s="3">
        <f t="shared" si="1"/>
        <v>0.017927665765953</v>
      </c>
      <c r="AG61" s="3">
        <f t="shared" si="2"/>
        <v>2.7117919434629</v>
      </c>
      <c r="AH61" s="3">
        <f t="shared" si="3"/>
        <v>0.05</v>
      </c>
      <c r="BO61" s="3">
        <f t="shared" si="0"/>
        <v>0</v>
      </c>
      <c r="BS61" s="5" t="e">
        <f t="shared" si="11"/>
        <v>#DIV/0!</v>
      </c>
    </row>
    <row r="62" spans="1:71">
      <c r="A62" s="10"/>
      <c r="B62" s="10"/>
      <c r="C62" s="10"/>
      <c r="D62" s="9" t="s">
        <v>69</v>
      </c>
      <c r="F62" s="3">
        <v>283</v>
      </c>
      <c r="H62" s="3">
        <v>7.465</v>
      </c>
      <c r="I62" s="3">
        <v>186.7</v>
      </c>
      <c r="J62" s="3">
        <v>138.9</v>
      </c>
      <c r="K62" s="3">
        <v>3.89</v>
      </c>
      <c r="L62" s="3">
        <v>1.41</v>
      </c>
      <c r="M62" s="3">
        <v>106</v>
      </c>
      <c r="N62" s="3">
        <v>4.9</v>
      </c>
      <c r="O62" s="3">
        <v>0.89</v>
      </c>
      <c r="P62" s="3">
        <v>7.8</v>
      </c>
      <c r="Q62" s="3">
        <v>20.5</v>
      </c>
      <c r="R62" s="3">
        <v>99.4</v>
      </c>
      <c r="S62" s="3">
        <v>7.445</v>
      </c>
      <c r="T62" s="3">
        <v>96.9</v>
      </c>
      <c r="U62" s="3">
        <v>138.8</v>
      </c>
      <c r="V62" s="3">
        <v>3.89</v>
      </c>
      <c r="W62" s="3">
        <v>1.43</v>
      </c>
      <c r="X62" s="3">
        <v>106</v>
      </c>
      <c r="Y62" s="3">
        <v>4.5</v>
      </c>
      <c r="Z62" s="3">
        <v>1.03</v>
      </c>
      <c r="AA62" s="3">
        <v>7.8</v>
      </c>
      <c r="AB62" s="3">
        <v>21.4</v>
      </c>
      <c r="AC62" s="3">
        <v>97.7</v>
      </c>
      <c r="AD62" s="3">
        <v>73</v>
      </c>
      <c r="AE62" s="3">
        <v>1.45</v>
      </c>
      <c r="AF62" s="3">
        <f t="shared" si="1"/>
        <v>0.0177896917265749</v>
      </c>
      <c r="AG62" s="3">
        <f t="shared" si="2"/>
        <v>1.51736812720848</v>
      </c>
      <c r="AH62" s="3">
        <f t="shared" si="3"/>
        <v>0.14</v>
      </c>
      <c r="BO62" s="3">
        <f t="shared" si="0"/>
        <v>0</v>
      </c>
      <c r="BS62" s="5" t="e">
        <f t="shared" si="11"/>
        <v>#DIV/0!</v>
      </c>
    </row>
    <row r="63" spans="1:71">
      <c r="A63" s="10"/>
      <c r="B63" s="10"/>
      <c r="C63" s="10"/>
      <c r="D63" s="9" t="s">
        <v>85</v>
      </c>
      <c r="F63" s="3">
        <v>283</v>
      </c>
      <c r="H63" s="3">
        <v>7.431</v>
      </c>
      <c r="I63" s="3">
        <v>257.6</v>
      </c>
      <c r="J63" s="3">
        <v>139.5</v>
      </c>
      <c r="K63" s="3">
        <v>4.56</v>
      </c>
      <c r="L63" s="3">
        <v>1.32</v>
      </c>
      <c r="M63" s="3">
        <v>106</v>
      </c>
      <c r="N63" s="3">
        <v>6.2</v>
      </c>
      <c r="O63" s="3">
        <v>1.4</v>
      </c>
      <c r="P63" s="3">
        <v>7.8</v>
      </c>
      <c r="Q63" s="3">
        <v>20.9</v>
      </c>
      <c r="R63" s="3">
        <v>99.6</v>
      </c>
      <c r="S63" s="3">
        <v>7.42</v>
      </c>
      <c r="T63" s="3">
        <v>138.7</v>
      </c>
      <c r="U63" s="3">
        <v>139.2</v>
      </c>
      <c r="V63" s="3">
        <v>4.29</v>
      </c>
      <c r="W63" s="3">
        <v>1.34</v>
      </c>
      <c r="X63" s="3">
        <v>106</v>
      </c>
      <c r="Y63" s="3">
        <v>6.1</v>
      </c>
      <c r="Z63" s="3">
        <v>1.41</v>
      </c>
      <c r="AA63" s="3">
        <v>7.8</v>
      </c>
      <c r="AB63" s="3">
        <v>21</v>
      </c>
      <c r="AC63" s="3">
        <v>98.8</v>
      </c>
      <c r="AD63" s="3">
        <v>70</v>
      </c>
      <c r="AE63" s="3">
        <v>1.5</v>
      </c>
      <c r="AF63" s="3">
        <f t="shared" si="1"/>
        <v>0.016489988221437</v>
      </c>
      <c r="AG63" s="3">
        <f t="shared" si="2"/>
        <v>1.99797667844523</v>
      </c>
      <c r="AH63" s="3">
        <f t="shared" si="3"/>
        <v>0.01</v>
      </c>
      <c r="BO63" s="3">
        <f t="shared" si="0"/>
        <v>0</v>
      </c>
      <c r="BS63" s="5" t="e">
        <f t="shared" si="11"/>
        <v>#DIV/0!</v>
      </c>
    </row>
    <row r="64" spans="1:67">
      <c r="A64" s="10"/>
      <c r="B64" s="10"/>
      <c r="C64" s="10"/>
      <c r="D64" s="9" t="s">
        <v>71</v>
      </c>
      <c r="F64" s="3">
        <v>283</v>
      </c>
      <c r="G64" s="3">
        <v>365</v>
      </c>
      <c r="H64" s="3">
        <v>7.378</v>
      </c>
      <c r="I64" s="3">
        <v>263.9</v>
      </c>
      <c r="J64" s="3">
        <v>137.3</v>
      </c>
      <c r="K64" s="3">
        <v>4.47</v>
      </c>
      <c r="L64" s="3">
        <v>1.27</v>
      </c>
      <c r="M64" s="3">
        <v>104</v>
      </c>
      <c r="N64" s="3">
        <v>35</v>
      </c>
      <c r="O64" s="3">
        <v>1.59</v>
      </c>
      <c r="P64" s="3">
        <v>7.8</v>
      </c>
      <c r="Q64" s="3">
        <v>20.5</v>
      </c>
      <c r="R64" s="3">
        <v>99.6</v>
      </c>
      <c r="S64" s="3">
        <v>7.391</v>
      </c>
      <c r="T64" s="3">
        <v>106.4</v>
      </c>
      <c r="U64" s="3">
        <v>138.2</v>
      </c>
      <c r="V64" s="3">
        <v>4.44</v>
      </c>
      <c r="W64" s="3">
        <v>1.28</v>
      </c>
      <c r="X64" s="3">
        <v>106</v>
      </c>
      <c r="Y64" s="3">
        <v>8.7</v>
      </c>
      <c r="Z64" s="3">
        <v>1.48</v>
      </c>
      <c r="AA64" s="3">
        <v>7.8</v>
      </c>
      <c r="AB64" s="3">
        <v>19.1</v>
      </c>
      <c r="AC64" s="3">
        <v>97.9</v>
      </c>
      <c r="AD64" s="3">
        <v>67</v>
      </c>
      <c r="AE64" s="3">
        <v>1.43</v>
      </c>
      <c r="AF64" s="3">
        <f t="shared" si="1"/>
        <v>0.0165558822802639</v>
      </c>
      <c r="AG64" s="3">
        <f t="shared" si="2"/>
        <v>2.55691276325088</v>
      </c>
      <c r="AH64" s="3">
        <f t="shared" si="3"/>
        <v>-0.11</v>
      </c>
      <c r="AI64" s="4">
        <v>9.12</v>
      </c>
      <c r="AJ64" s="4">
        <v>0.42</v>
      </c>
      <c r="AK64" s="4">
        <v>55</v>
      </c>
      <c r="AL64" s="4">
        <v>10.62</v>
      </c>
      <c r="AM64" s="4">
        <v>12.21</v>
      </c>
      <c r="AN64" s="37">
        <v>60.84</v>
      </c>
      <c r="AO64" s="37">
        <v>7</v>
      </c>
      <c r="AP64" s="37">
        <v>110</v>
      </c>
      <c r="AQ64" s="37">
        <v>113</v>
      </c>
      <c r="AR64" s="37">
        <v>193</v>
      </c>
      <c r="AS64" s="37">
        <v>232</v>
      </c>
      <c r="AT64" s="37">
        <v>96</v>
      </c>
      <c r="AU64" s="37">
        <v>5</v>
      </c>
      <c r="AV64" s="37">
        <v>47</v>
      </c>
      <c r="AW64" s="37">
        <v>130</v>
      </c>
      <c r="AX64" s="37">
        <v>1348</v>
      </c>
      <c r="AY64" s="37">
        <v>-1640</v>
      </c>
      <c r="AZ64" s="37">
        <v>39</v>
      </c>
      <c r="BA64" s="37">
        <v>30</v>
      </c>
      <c r="BB64" s="37">
        <v>89</v>
      </c>
      <c r="BC64" s="37">
        <v>71</v>
      </c>
      <c r="BD64" s="37">
        <v>19</v>
      </c>
      <c r="BE64" s="37">
        <v>1896</v>
      </c>
      <c r="BF64" s="37">
        <v>21</v>
      </c>
      <c r="BG64" s="37">
        <v>927</v>
      </c>
      <c r="BH64" s="37">
        <v>2726</v>
      </c>
      <c r="BI64" s="37">
        <v>0</v>
      </c>
      <c r="BJ64" s="37">
        <v>0</v>
      </c>
      <c r="BK64" s="37">
        <v>0</v>
      </c>
      <c r="BL64" s="37">
        <v>0</v>
      </c>
      <c r="BM64" s="37">
        <v>1092</v>
      </c>
      <c r="BN64" s="37">
        <v>100</v>
      </c>
      <c r="BO64" s="3">
        <f t="shared" si="0"/>
        <v>0.636458911002794</v>
      </c>
    </row>
    <row r="65" spans="1:71">
      <c r="A65" s="15"/>
      <c r="B65" s="15"/>
      <c r="C65" s="15"/>
      <c r="D65" s="16" t="s">
        <v>72</v>
      </c>
      <c r="AF65" s="3" t="e">
        <f t="shared" si="1"/>
        <v>#DIV/0!</v>
      </c>
      <c r="AG65" s="3" t="e">
        <f t="shared" si="2"/>
        <v>#DIV/0!</v>
      </c>
      <c r="AH65" s="3">
        <f t="shared" si="3"/>
        <v>0</v>
      </c>
      <c r="BO65" s="3" t="e">
        <f t="shared" si="0"/>
        <v>#DIV/0!</v>
      </c>
      <c r="BS65" s="5" t="e">
        <f>BR65/(0.0734*(POWER(E65,0.656)))</f>
        <v>#DIV/0!</v>
      </c>
    </row>
    <row r="66" spans="1:71">
      <c r="A66" s="8">
        <v>10</v>
      </c>
      <c r="B66" s="8"/>
      <c r="C66" s="8" t="s">
        <v>89</v>
      </c>
      <c r="D66" s="9" t="s">
        <v>66</v>
      </c>
      <c r="E66" s="3">
        <v>46.4</v>
      </c>
      <c r="F66" s="3">
        <v>265</v>
      </c>
      <c r="H66" s="3">
        <v>7.389</v>
      </c>
      <c r="I66" s="3">
        <v>244.6</v>
      </c>
      <c r="J66" s="3">
        <v>137.9</v>
      </c>
      <c r="K66" s="3">
        <v>3.83</v>
      </c>
      <c r="L66" s="3">
        <v>1.08</v>
      </c>
      <c r="M66" s="3">
        <v>112</v>
      </c>
      <c r="N66" s="3">
        <v>4.8</v>
      </c>
      <c r="O66" s="3">
        <v>1.01</v>
      </c>
      <c r="P66" s="3">
        <v>7.8</v>
      </c>
      <c r="Q66" s="3">
        <v>16.6</v>
      </c>
      <c r="R66" s="3">
        <v>99.6</v>
      </c>
      <c r="S66" s="3">
        <v>7.362</v>
      </c>
      <c r="T66" s="3">
        <v>118.1</v>
      </c>
      <c r="U66" s="3">
        <v>137.3</v>
      </c>
      <c r="V66" s="3">
        <v>3.88</v>
      </c>
      <c r="W66" s="3">
        <v>1.07</v>
      </c>
      <c r="X66" s="3">
        <v>111</v>
      </c>
      <c r="Y66" s="3">
        <v>4.4</v>
      </c>
      <c r="Z66" s="3">
        <v>0.68</v>
      </c>
      <c r="AA66" s="3">
        <v>7.8</v>
      </c>
      <c r="AB66" s="3">
        <v>16.9</v>
      </c>
      <c r="AC66" s="3">
        <v>98.2</v>
      </c>
      <c r="AD66" s="3">
        <v>51</v>
      </c>
      <c r="AE66" s="3">
        <v>1</v>
      </c>
      <c r="AF66" s="3">
        <f t="shared" si="1"/>
        <v>0.0192452830188679</v>
      </c>
      <c r="AG66" s="3">
        <f t="shared" si="2"/>
        <v>1.53502943396226</v>
      </c>
      <c r="AH66" s="3">
        <f t="shared" si="3"/>
        <v>-0.33</v>
      </c>
      <c r="BO66" s="3">
        <f t="shared" si="0"/>
        <v>0</v>
      </c>
      <c r="BS66" s="5">
        <f>BR66/(0.0734*(POWER(E66,0.656)))</f>
        <v>0</v>
      </c>
    </row>
    <row r="67" spans="1:71">
      <c r="A67" s="10"/>
      <c r="B67" s="10"/>
      <c r="C67" s="10"/>
      <c r="D67" s="9" t="s">
        <v>67</v>
      </c>
      <c r="F67" s="3">
        <v>265</v>
      </c>
      <c r="H67" s="3">
        <v>7.224</v>
      </c>
      <c r="I67" s="3">
        <v>217.9</v>
      </c>
      <c r="J67" s="3">
        <v>138.6</v>
      </c>
      <c r="K67" s="3">
        <v>3.57</v>
      </c>
      <c r="L67" s="3">
        <v>1.97</v>
      </c>
      <c r="M67" s="3">
        <v>113</v>
      </c>
      <c r="N67" s="3">
        <v>12.7</v>
      </c>
      <c r="O67" s="3">
        <v>0.45</v>
      </c>
      <c r="P67" s="3">
        <v>7.8</v>
      </c>
      <c r="Q67" s="3">
        <v>17</v>
      </c>
      <c r="R67" s="3">
        <v>99.3</v>
      </c>
      <c r="S67" s="3">
        <v>7.248</v>
      </c>
      <c r="T67" s="3">
        <v>115.2</v>
      </c>
      <c r="U67" s="3">
        <v>137.5</v>
      </c>
      <c r="V67" s="3">
        <v>3.62</v>
      </c>
      <c r="W67" s="3">
        <v>1.78</v>
      </c>
      <c r="X67" s="3">
        <v>112</v>
      </c>
      <c r="Y67" s="3">
        <v>11.6</v>
      </c>
      <c r="Z67" s="3">
        <v>0.42</v>
      </c>
      <c r="AA67" s="3">
        <v>7.8</v>
      </c>
      <c r="AB67" s="3">
        <v>17.2</v>
      </c>
      <c r="AC67" s="3">
        <v>97.6</v>
      </c>
      <c r="AD67" s="3">
        <v>91</v>
      </c>
      <c r="AE67" s="3">
        <v>1.12</v>
      </c>
      <c r="AF67" s="3">
        <f t="shared" si="1"/>
        <v>0.0306603773584906</v>
      </c>
      <c r="AG67" s="3">
        <f t="shared" si="2"/>
        <v>1.42066040754717</v>
      </c>
      <c r="AH67" s="3">
        <f t="shared" si="3"/>
        <v>-0.03</v>
      </c>
      <c r="AI67" s="37">
        <v>6.78</v>
      </c>
      <c r="AJ67" s="37">
        <v>-0.39</v>
      </c>
      <c r="AK67" s="37">
        <v>64.72</v>
      </c>
      <c r="AL67" s="37">
        <v>19.69</v>
      </c>
      <c r="AM67" s="37">
        <v>10.38</v>
      </c>
      <c r="AN67" s="37">
        <v>69.87</v>
      </c>
      <c r="AO67" s="37">
        <v>13</v>
      </c>
      <c r="AP67" s="37">
        <v>156</v>
      </c>
      <c r="AQ67" s="37">
        <v>155</v>
      </c>
      <c r="AR67" s="37">
        <v>159</v>
      </c>
      <c r="AS67" s="37">
        <v>118</v>
      </c>
      <c r="AT67" s="37">
        <v>140</v>
      </c>
      <c r="AU67" s="37">
        <v>10</v>
      </c>
      <c r="AV67" s="37">
        <v>48</v>
      </c>
      <c r="AW67" s="37">
        <v>173</v>
      </c>
      <c r="AX67" s="37">
        <v>2049</v>
      </c>
      <c r="AY67" s="37">
        <v>-1946</v>
      </c>
      <c r="AZ67" s="37">
        <v>34</v>
      </c>
      <c r="BA67" s="37">
        <v>51</v>
      </c>
      <c r="BB67" s="37">
        <v>114</v>
      </c>
      <c r="BC67" s="37">
        <v>93</v>
      </c>
      <c r="BD67" s="37">
        <v>22</v>
      </c>
      <c r="BE67" s="37">
        <v>2602</v>
      </c>
      <c r="BF67" s="37">
        <v>19</v>
      </c>
      <c r="BG67" s="37">
        <v>1914</v>
      </c>
      <c r="BH67" s="37">
        <v>5579</v>
      </c>
      <c r="BI67" s="37">
        <v>0</v>
      </c>
      <c r="BJ67" s="37">
        <v>0</v>
      </c>
      <c r="BK67" s="37">
        <v>0</v>
      </c>
      <c r="BL67" s="37">
        <v>0</v>
      </c>
      <c r="BM67" s="37">
        <v>2236</v>
      </c>
      <c r="BN67" s="37">
        <v>120</v>
      </c>
      <c r="BO67" s="3">
        <f t="shared" ref="BO67:BO130" si="12">BE67/(0.0734*(POWER(F67,0.656)))/1000</f>
        <v>0.911930915436427</v>
      </c>
      <c r="BS67" s="5" t="e">
        <f>BR67/(0.0734*(POWER(E67,0.656)))</f>
        <v>#DIV/0!</v>
      </c>
    </row>
    <row r="68" spans="1:71">
      <c r="A68" s="10"/>
      <c r="B68" s="10"/>
      <c r="C68" s="10"/>
      <c r="D68" s="9" t="s">
        <v>68</v>
      </c>
      <c r="F68" s="3">
        <v>265</v>
      </c>
      <c r="H68" s="3">
        <v>7.284</v>
      </c>
      <c r="I68" s="3">
        <v>254</v>
      </c>
      <c r="J68" s="3">
        <v>139.1</v>
      </c>
      <c r="K68" s="3">
        <v>3.83</v>
      </c>
      <c r="L68" s="3">
        <v>1.55</v>
      </c>
      <c r="M68" s="3">
        <v>114</v>
      </c>
      <c r="N68" s="3">
        <v>8</v>
      </c>
      <c r="O68" s="3">
        <v>0.75</v>
      </c>
      <c r="P68" s="3">
        <v>8</v>
      </c>
      <c r="Q68" s="3">
        <v>18.3</v>
      </c>
      <c r="R68" s="3">
        <v>99.5</v>
      </c>
      <c r="S68" s="3">
        <v>7.303</v>
      </c>
      <c r="T68" s="3">
        <v>99.4</v>
      </c>
      <c r="U68" s="3">
        <v>137.9</v>
      </c>
      <c r="V68" s="3">
        <v>3.79</v>
      </c>
      <c r="W68" s="3">
        <v>1.57</v>
      </c>
      <c r="X68" s="3">
        <v>113</v>
      </c>
      <c r="Y68" s="3">
        <v>7.9</v>
      </c>
      <c r="Z68" s="3">
        <v>0.68</v>
      </c>
      <c r="AA68" s="3">
        <v>8</v>
      </c>
      <c r="AB68" s="3">
        <v>16.1</v>
      </c>
      <c r="AC68" s="3">
        <v>97</v>
      </c>
      <c r="AD68" s="12">
        <v>67</v>
      </c>
      <c r="AE68" s="3">
        <v>1.16</v>
      </c>
      <c r="AF68" s="3">
        <f t="shared" ref="AF68:AF131" si="13">AD68/AE68/1000/F68*100</f>
        <v>0.0217957059206246</v>
      </c>
      <c r="AG68" s="3">
        <f t="shared" ref="AG68:AG131" si="14">AE68*1000*((1.34*P68/10*R68/100+0.0031*I68)-(1.34*AA68/10*AC68/100+0.0031*T68))/(F68/100)/100</f>
        <v>2.21520603773585</v>
      </c>
      <c r="AH68" s="3">
        <f t="shared" ref="AH68:AH131" si="15">Z68-O68</f>
        <v>-0.07</v>
      </c>
      <c r="BO68" s="3">
        <f t="shared" si="12"/>
        <v>0</v>
      </c>
      <c r="BS68" s="5" t="e">
        <f>BR68/(0.0734*(POWER(E68,0.656)))</f>
        <v>#DIV/0!</v>
      </c>
    </row>
    <row r="69" spans="1:71">
      <c r="A69" s="10"/>
      <c r="B69" s="10"/>
      <c r="C69" s="10"/>
      <c r="D69" s="9" t="s">
        <v>69</v>
      </c>
      <c r="F69" s="3">
        <v>265</v>
      </c>
      <c r="H69" s="3">
        <v>7.38</v>
      </c>
      <c r="I69" s="3">
        <v>264.5</v>
      </c>
      <c r="J69" s="3">
        <v>139.9</v>
      </c>
      <c r="K69" s="3">
        <v>4.13</v>
      </c>
      <c r="L69" s="3">
        <v>1.52</v>
      </c>
      <c r="M69" s="3">
        <v>113</v>
      </c>
      <c r="N69" s="3">
        <v>5.6</v>
      </c>
      <c r="O69" s="3">
        <v>1.13</v>
      </c>
      <c r="P69" s="3">
        <v>8</v>
      </c>
      <c r="Q69" s="3">
        <v>16</v>
      </c>
      <c r="R69" s="3">
        <v>99.6</v>
      </c>
      <c r="S69" s="3">
        <v>7.367</v>
      </c>
      <c r="T69" s="3">
        <v>101.3</v>
      </c>
      <c r="U69" s="3">
        <v>140.5</v>
      </c>
      <c r="V69" s="3">
        <v>4.09</v>
      </c>
      <c r="W69" s="3">
        <v>1.52</v>
      </c>
      <c r="X69" s="3">
        <v>114</v>
      </c>
      <c r="Y69" s="3">
        <v>6.1</v>
      </c>
      <c r="Z69" s="3">
        <v>1.25</v>
      </c>
      <c r="AA69" s="3">
        <v>8</v>
      </c>
      <c r="AB69" s="3">
        <v>17.2</v>
      </c>
      <c r="AC69" s="3">
        <v>97.6</v>
      </c>
      <c r="AD69" s="3">
        <v>64</v>
      </c>
      <c r="AE69" s="3">
        <v>1.2</v>
      </c>
      <c r="AF69" s="3">
        <f t="shared" si="13"/>
        <v>0.020125786163522</v>
      </c>
      <c r="AG69" s="3">
        <f t="shared" si="14"/>
        <v>2.38804528301887</v>
      </c>
      <c r="AH69" s="3">
        <f t="shared" si="15"/>
        <v>0.12</v>
      </c>
      <c r="BO69" s="3">
        <f t="shared" si="12"/>
        <v>0</v>
      </c>
      <c r="BS69" s="5" t="e">
        <f>BR69/(0.0734*(POWER(E69,0.656)))</f>
        <v>#DIV/0!</v>
      </c>
    </row>
    <row r="70" spans="1:67">
      <c r="A70" s="10"/>
      <c r="B70" s="10"/>
      <c r="C70" s="10"/>
      <c r="D70" s="9" t="s">
        <v>85</v>
      </c>
      <c r="F70" s="3">
        <v>265</v>
      </c>
      <c r="H70" s="3">
        <v>7.406</v>
      </c>
      <c r="I70" s="3">
        <v>279.1</v>
      </c>
      <c r="J70" s="3">
        <v>140.9</v>
      </c>
      <c r="K70" s="3">
        <v>4.47</v>
      </c>
      <c r="L70" s="3">
        <v>1.46</v>
      </c>
      <c r="M70" s="3">
        <v>115</v>
      </c>
      <c r="N70" s="3">
        <v>8.3</v>
      </c>
      <c r="O70" s="3">
        <v>1.98</v>
      </c>
      <c r="P70" s="3">
        <v>7.9</v>
      </c>
      <c r="Q70" s="3">
        <v>15.5</v>
      </c>
      <c r="R70" s="3">
        <v>99.7</v>
      </c>
      <c r="S70" s="3">
        <v>7.376</v>
      </c>
      <c r="T70" s="3">
        <v>97.5</v>
      </c>
      <c r="U70" s="3">
        <v>141.1</v>
      </c>
      <c r="V70" s="3">
        <v>4.46</v>
      </c>
      <c r="W70" s="3">
        <v>1.47</v>
      </c>
      <c r="X70" s="3">
        <v>114</v>
      </c>
      <c r="Y70" s="3">
        <v>8.3</v>
      </c>
      <c r="Z70" s="3">
        <v>1.93</v>
      </c>
      <c r="AA70" s="3">
        <v>7.9</v>
      </c>
      <c r="AB70" s="3">
        <v>16.4</v>
      </c>
      <c r="AC70" s="3">
        <v>97.4</v>
      </c>
      <c r="AD70" s="3">
        <v>62</v>
      </c>
      <c r="AE70" s="3">
        <v>1.18</v>
      </c>
      <c r="AF70" s="3">
        <f t="shared" si="13"/>
        <v>0.0198273105212664</v>
      </c>
      <c r="AG70" s="3">
        <f t="shared" si="14"/>
        <v>2.61518190188679</v>
      </c>
      <c r="AH70" s="3">
        <f t="shared" si="15"/>
        <v>-0.05</v>
      </c>
      <c r="BO70" s="3">
        <f t="shared" si="12"/>
        <v>0</v>
      </c>
    </row>
    <row r="71" s="2" customFormat="1" spans="1:71">
      <c r="A71" s="10"/>
      <c r="B71" s="10"/>
      <c r="C71" s="10"/>
      <c r="D71" s="14" t="s">
        <v>71</v>
      </c>
      <c r="E71" s="3"/>
      <c r="F71" s="3">
        <v>265</v>
      </c>
      <c r="G71" s="2">
        <v>362</v>
      </c>
      <c r="H71" s="3">
        <v>7.406</v>
      </c>
      <c r="I71" s="3">
        <v>269.6</v>
      </c>
      <c r="J71" s="3">
        <v>140.8</v>
      </c>
      <c r="K71" s="3">
        <v>4.75</v>
      </c>
      <c r="L71" s="3">
        <v>1.4</v>
      </c>
      <c r="M71" s="3">
        <v>116</v>
      </c>
      <c r="N71" s="3">
        <v>6.6</v>
      </c>
      <c r="O71" s="3">
        <v>2.63</v>
      </c>
      <c r="P71" s="3">
        <v>8</v>
      </c>
      <c r="Q71" s="3">
        <v>14.7</v>
      </c>
      <c r="R71" s="3">
        <v>99.6</v>
      </c>
      <c r="S71" s="3">
        <v>7.384</v>
      </c>
      <c r="T71" s="3">
        <v>110.3</v>
      </c>
      <c r="U71" s="3">
        <v>141.3</v>
      </c>
      <c r="V71" s="3">
        <v>4.76</v>
      </c>
      <c r="W71" s="3">
        <v>1.39</v>
      </c>
      <c r="X71" s="3">
        <v>116</v>
      </c>
      <c r="Y71" s="3">
        <v>6.7</v>
      </c>
      <c r="Z71" s="3">
        <v>2.71</v>
      </c>
      <c r="AA71" s="3">
        <v>8</v>
      </c>
      <c r="AB71" s="3">
        <v>15.8</v>
      </c>
      <c r="AC71" s="3">
        <v>98.1</v>
      </c>
      <c r="AD71" s="3">
        <v>61</v>
      </c>
      <c r="AE71" s="3">
        <v>1</v>
      </c>
      <c r="AF71" s="3">
        <f t="shared" si="13"/>
        <v>0.0230188679245283</v>
      </c>
      <c r="AG71" s="3">
        <f t="shared" si="14"/>
        <v>1.92418867924528</v>
      </c>
      <c r="AH71" s="3">
        <f t="shared" si="15"/>
        <v>0.0800000000000001</v>
      </c>
      <c r="AI71" s="37">
        <v>6.36</v>
      </c>
      <c r="AJ71" s="37">
        <v>0.55</v>
      </c>
      <c r="AK71" s="37">
        <v>43.49</v>
      </c>
      <c r="AL71" s="37">
        <v>42.71</v>
      </c>
      <c r="AM71" s="37">
        <v>10.28</v>
      </c>
      <c r="AN71" s="37">
        <v>76.86</v>
      </c>
      <c r="AO71" s="37">
        <v>12</v>
      </c>
      <c r="AP71" s="37">
        <v>113</v>
      </c>
      <c r="AQ71" s="37">
        <v>115</v>
      </c>
      <c r="AR71" s="37">
        <v>228</v>
      </c>
      <c r="AS71" s="37">
        <v>160</v>
      </c>
      <c r="AT71" s="37">
        <v>100</v>
      </c>
      <c r="AU71" s="37">
        <v>10</v>
      </c>
      <c r="AV71" s="37">
        <v>43</v>
      </c>
      <c r="AW71" s="37">
        <v>134</v>
      </c>
      <c r="AX71" s="37">
        <v>1236</v>
      </c>
      <c r="AY71" s="37">
        <v>-1477</v>
      </c>
      <c r="AZ71" s="37">
        <v>43</v>
      </c>
      <c r="BA71" s="37">
        <v>42</v>
      </c>
      <c r="BB71" s="37">
        <v>107</v>
      </c>
      <c r="BC71" s="37">
        <v>95</v>
      </c>
      <c r="BD71" s="37">
        <v>14</v>
      </c>
      <c r="BE71" s="37">
        <v>1530</v>
      </c>
      <c r="BF71" s="37">
        <v>13</v>
      </c>
      <c r="BG71" s="37">
        <v>777</v>
      </c>
      <c r="BH71" s="37">
        <v>2521</v>
      </c>
      <c r="BI71" s="37">
        <v>0</v>
      </c>
      <c r="BJ71" s="37">
        <v>0</v>
      </c>
      <c r="BK71" s="37">
        <v>0</v>
      </c>
      <c r="BL71" s="37">
        <v>0</v>
      </c>
      <c r="BM71" s="37">
        <v>967</v>
      </c>
      <c r="BN71" s="37">
        <v>106</v>
      </c>
      <c r="BO71" s="3">
        <f t="shared" si="12"/>
        <v>0.536223789630182</v>
      </c>
      <c r="BR71" s="5"/>
      <c r="BS71" s="5" t="e">
        <f t="shared" ref="BS71:BS114" si="16">BR71/(0.0734*(POWER(E71,0.656)))</f>
        <v>#DIV/0!</v>
      </c>
    </row>
    <row r="72" spans="1:71">
      <c r="A72" s="15"/>
      <c r="B72" s="15"/>
      <c r="C72" s="15"/>
      <c r="D72" s="16" t="s">
        <v>72</v>
      </c>
      <c r="AF72" s="3" t="e">
        <f t="shared" si="13"/>
        <v>#DIV/0!</v>
      </c>
      <c r="AG72" s="3" t="e">
        <f t="shared" si="14"/>
        <v>#DIV/0!</v>
      </c>
      <c r="AH72" s="3">
        <f t="shared" si="15"/>
        <v>0</v>
      </c>
      <c r="BO72" s="3" t="e">
        <f t="shared" si="12"/>
        <v>#DIV/0!</v>
      </c>
      <c r="BS72" s="5" t="e">
        <f t="shared" si="16"/>
        <v>#DIV/0!</v>
      </c>
    </row>
    <row r="73" spans="1:71">
      <c r="A73" s="8">
        <v>11</v>
      </c>
      <c r="B73" s="8"/>
      <c r="C73" s="8" t="s">
        <v>90</v>
      </c>
      <c r="D73" s="9" t="s">
        <v>66</v>
      </c>
      <c r="E73" s="3">
        <v>52.7</v>
      </c>
      <c r="F73" s="3">
        <v>262</v>
      </c>
      <c r="H73" s="3">
        <v>7.36</v>
      </c>
      <c r="I73" s="3">
        <v>113.6</v>
      </c>
      <c r="J73" s="3">
        <v>140.4</v>
      </c>
      <c r="K73" s="3">
        <v>3.32</v>
      </c>
      <c r="L73" s="3">
        <v>1.01</v>
      </c>
      <c r="M73" s="3">
        <v>116</v>
      </c>
      <c r="N73" s="3">
        <v>3.2</v>
      </c>
      <c r="O73" s="3">
        <v>1.48</v>
      </c>
      <c r="P73" s="3">
        <v>86</v>
      </c>
      <c r="Q73" s="3">
        <v>16.1</v>
      </c>
      <c r="R73" s="3">
        <v>98.1</v>
      </c>
      <c r="AF73" s="3" t="e">
        <f t="shared" si="13"/>
        <v>#DIV/0!</v>
      </c>
      <c r="AG73" s="3">
        <f t="shared" si="14"/>
        <v>0</v>
      </c>
      <c r="AH73" s="3">
        <f t="shared" si="15"/>
        <v>-1.48</v>
      </c>
      <c r="BO73" s="3">
        <f t="shared" si="12"/>
        <v>0</v>
      </c>
      <c r="BS73" s="5">
        <f t="shared" si="16"/>
        <v>0</v>
      </c>
    </row>
    <row r="74" spans="1:71">
      <c r="A74" s="10"/>
      <c r="B74" s="10"/>
      <c r="C74" s="10"/>
      <c r="D74" s="9" t="s">
        <v>67</v>
      </c>
      <c r="E74" s="3">
        <v>52.7</v>
      </c>
      <c r="F74" s="3">
        <v>262</v>
      </c>
      <c r="H74" s="3">
        <v>7.345</v>
      </c>
      <c r="I74" s="3">
        <v>262.4</v>
      </c>
      <c r="J74" s="3">
        <v>140.2</v>
      </c>
      <c r="K74" s="3">
        <v>2.94</v>
      </c>
      <c r="L74" s="3">
        <v>1.57</v>
      </c>
      <c r="M74" s="3">
        <v>118</v>
      </c>
      <c r="N74" s="3">
        <v>3.4</v>
      </c>
      <c r="O74" s="3">
        <v>0.78</v>
      </c>
      <c r="P74" s="3">
        <v>89</v>
      </c>
      <c r="Q74" s="3">
        <v>16.3</v>
      </c>
      <c r="R74" s="3">
        <v>99.6</v>
      </c>
      <c r="S74" s="3">
        <v>7.311</v>
      </c>
      <c r="T74" s="3">
        <v>92.9</v>
      </c>
      <c r="U74" s="3">
        <v>140.2</v>
      </c>
      <c r="V74" s="3">
        <v>2.94</v>
      </c>
      <c r="W74" s="3">
        <v>1.63</v>
      </c>
      <c r="X74" s="3">
        <v>118</v>
      </c>
      <c r="Y74" s="3">
        <v>3.4</v>
      </c>
      <c r="Z74" s="3">
        <v>0.71</v>
      </c>
      <c r="AA74" s="3">
        <v>90</v>
      </c>
      <c r="AB74" s="3">
        <v>17.2</v>
      </c>
      <c r="AC74" s="3">
        <v>96.6</v>
      </c>
      <c r="AD74" s="3">
        <v>50</v>
      </c>
      <c r="AE74" s="3">
        <v>0.75</v>
      </c>
      <c r="AF74" s="3">
        <f t="shared" si="13"/>
        <v>0.0254452926208651</v>
      </c>
      <c r="AG74" s="3">
        <f t="shared" si="14"/>
        <v>2.15778435114504</v>
      </c>
      <c r="AH74" s="3">
        <f t="shared" si="15"/>
        <v>-0.0700000000000001</v>
      </c>
      <c r="AI74" s="4">
        <v>5.35</v>
      </c>
      <c r="AJ74" s="4">
        <v>1.32</v>
      </c>
      <c r="AK74" s="4">
        <v>37.19</v>
      </c>
      <c r="AL74" s="4">
        <v>36.94</v>
      </c>
      <c r="AM74" s="4">
        <v>5.66</v>
      </c>
      <c r="AN74" s="4">
        <v>45.74</v>
      </c>
      <c r="AO74" s="3">
        <v>15</v>
      </c>
      <c r="AP74" s="3">
        <v>12</v>
      </c>
      <c r="AQ74" s="3">
        <v>89</v>
      </c>
      <c r="AR74" s="3">
        <v>249</v>
      </c>
      <c r="AS74" s="3">
        <v>217</v>
      </c>
      <c r="AT74" s="3">
        <v>81</v>
      </c>
      <c r="AU74" s="3">
        <v>12</v>
      </c>
      <c r="AV74" s="3">
        <v>27</v>
      </c>
      <c r="AW74" s="3">
        <v>139</v>
      </c>
      <c r="AX74" s="3">
        <v>1109</v>
      </c>
      <c r="AY74" s="3">
        <v>-594</v>
      </c>
      <c r="AZ74" s="3">
        <v>51</v>
      </c>
      <c r="BA74" s="3">
        <v>75</v>
      </c>
      <c r="BB74" s="3">
        <v>70</v>
      </c>
      <c r="BC74" s="3">
        <v>65</v>
      </c>
      <c r="BD74" s="3">
        <v>13</v>
      </c>
      <c r="BE74" s="3">
        <v>1216</v>
      </c>
      <c r="BF74" s="3">
        <v>18</v>
      </c>
      <c r="BG74" s="3">
        <v>539</v>
      </c>
      <c r="BH74" s="3">
        <v>3391</v>
      </c>
      <c r="BI74" s="3">
        <v>1</v>
      </c>
      <c r="BJ74" s="3">
        <v>0</v>
      </c>
      <c r="BK74" s="3">
        <v>0</v>
      </c>
      <c r="BL74" s="3">
        <v>0</v>
      </c>
      <c r="BM74" s="3">
        <v>788</v>
      </c>
      <c r="BN74" s="3">
        <v>95</v>
      </c>
      <c r="BO74" s="3">
        <f t="shared" si="12"/>
        <v>0.429370168890272</v>
      </c>
      <c r="BS74" s="5">
        <f t="shared" si="16"/>
        <v>0</v>
      </c>
    </row>
    <row r="75" spans="1:71">
      <c r="A75" s="10"/>
      <c r="B75" s="10"/>
      <c r="C75" s="10"/>
      <c r="D75" s="9" t="s">
        <v>68</v>
      </c>
      <c r="E75" s="3">
        <v>52.7</v>
      </c>
      <c r="F75" s="3">
        <v>262</v>
      </c>
      <c r="H75" s="3">
        <v>7.341</v>
      </c>
      <c r="I75" s="3">
        <v>279.8</v>
      </c>
      <c r="J75" s="3">
        <v>141.8</v>
      </c>
      <c r="K75" s="3">
        <v>3.38</v>
      </c>
      <c r="L75" s="3">
        <v>1.45</v>
      </c>
      <c r="M75" s="3">
        <v>118</v>
      </c>
      <c r="N75" s="3">
        <v>4.2</v>
      </c>
      <c r="O75" s="3">
        <v>2.79</v>
      </c>
      <c r="P75" s="3">
        <v>89</v>
      </c>
      <c r="Q75" s="3">
        <v>14.4</v>
      </c>
      <c r="R75" s="3">
        <v>99.6</v>
      </c>
      <c r="S75" s="3">
        <v>7.315</v>
      </c>
      <c r="T75" s="3">
        <v>111</v>
      </c>
      <c r="U75" s="3">
        <v>140.5</v>
      </c>
      <c r="V75" s="3">
        <v>3.37</v>
      </c>
      <c r="W75" s="3">
        <v>1.45</v>
      </c>
      <c r="X75" s="3">
        <v>117</v>
      </c>
      <c r="Y75" s="3">
        <v>4.2</v>
      </c>
      <c r="Z75" s="3">
        <v>2.98</v>
      </c>
      <c r="AA75" s="3">
        <v>87</v>
      </c>
      <c r="AB75" s="3">
        <v>15.1</v>
      </c>
      <c r="AC75" s="3">
        <v>97.8</v>
      </c>
      <c r="AD75" s="3">
        <v>49</v>
      </c>
      <c r="AE75" s="3">
        <v>0.94</v>
      </c>
      <c r="AF75" s="3">
        <f t="shared" si="13"/>
        <v>0.0198960532726977</v>
      </c>
      <c r="AG75" s="3">
        <f t="shared" si="14"/>
        <v>3.58797282442748</v>
      </c>
      <c r="AH75" s="3">
        <f t="shared" si="15"/>
        <v>0.19</v>
      </c>
      <c r="BO75" s="3">
        <f t="shared" si="12"/>
        <v>0</v>
      </c>
      <c r="BS75" s="5">
        <f t="shared" si="16"/>
        <v>0</v>
      </c>
    </row>
    <row r="76" spans="1:71">
      <c r="A76" s="10"/>
      <c r="B76" s="10"/>
      <c r="C76" s="10"/>
      <c r="D76" s="9" t="s">
        <v>69</v>
      </c>
      <c r="E76" s="3">
        <v>52.7</v>
      </c>
      <c r="F76" s="3">
        <v>262</v>
      </c>
      <c r="H76" s="3">
        <v>7.421</v>
      </c>
      <c r="I76" s="3">
        <v>293.5</v>
      </c>
      <c r="J76" s="3">
        <v>140.2</v>
      </c>
      <c r="K76" s="3">
        <v>3.56</v>
      </c>
      <c r="L76" s="3">
        <v>1.42</v>
      </c>
      <c r="M76" s="3">
        <v>117</v>
      </c>
      <c r="N76" s="3">
        <v>5.1</v>
      </c>
      <c r="O76" s="3">
        <v>2.65</v>
      </c>
      <c r="P76" s="3">
        <v>94</v>
      </c>
      <c r="Q76" s="3">
        <v>15.3</v>
      </c>
      <c r="R76" s="3">
        <v>99.7</v>
      </c>
      <c r="S76" s="3">
        <v>7.404</v>
      </c>
      <c r="T76" s="3">
        <v>122.1</v>
      </c>
      <c r="U76" s="3">
        <v>139.7</v>
      </c>
      <c r="V76" s="3">
        <v>3.59</v>
      </c>
      <c r="W76" s="3">
        <v>1.45</v>
      </c>
      <c r="X76" s="3">
        <v>116</v>
      </c>
      <c r="Y76" s="3">
        <v>4.9</v>
      </c>
      <c r="Z76" s="3">
        <v>2.27</v>
      </c>
      <c r="AA76" s="3">
        <v>92</v>
      </c>
      <c r="AB76" s="3">
        <v>14.5</v>
      </c>
      <c r="AC76" s="3">
        <v>98.5</v>
      </c>
      <c r="AD76" s="3">
        <v>51</v>
      </c>
      <c r="AE76" s="3">
        <v>1</v>
      </c>
      <c r="AF76" s="3">
        <f t="shared" si="13"/>
        <v>0.0194656488549618</v>
      </c>
      <c r="AG76" s="3">
        <f t="shared" si="14"/>
        <v>3.61248854961833</v>
      </c>
      <c r="AH76" s="3">
        <f t="shared" si="15"/>
        <v>-0.38</v>
      </c>
      <c r="BO76" s="3">
        <f t="shared" si="12"/>
        <v>0</v>
      </c>
      <c r="BS76" s="5">
        <f t="shared" si="16"/>
        <v>0</v>
      </c>
    </row>
    <row r="77" spans="1:71">
      <c r="A77" s="10"/>
      <c r="B77" s="10"/>
      <c r="C77" s="10"/>
      <c r="D77" s="43" t="s">
        <v>70</v>
      </c>
      <c r="E77" s="3">
        <v>52.7</v>
      </c>
      <c r="F77" s="3">
        <v>262</v>
      </c>
      <c r="G77" s="3">
        <v>360</v>
      </c>
      <c r="H77" s="3">
        <v>7.423</v>
      </c>
      <c r="I77" s="3">
        <v>290.5</v>
      </c>
      <c r="J77" s="3">
        <v>139.1</v>
      </c>
      <c r="K77" s="3">
        <v>3.85</v>
      </c>
      <c r="L77" s="3">
        <v>1.39</v>
      </c>
      <c r="M77" s="3">
        <v>116</v>
      </c>
      <c r="N77" s="3">
        <v>5.2</v>
      </c>
      <c r="O77" s="3">
        <v>2.77</v>
      </c>
      <c r="P77" s="3">
        <v>96</v>
      </c>
      <c r="Q77" s="3">
        <v>13.4</v>
      </c>
      <c r="R77" s="3">
        <v>99.7</v>
      </c>
      <c r="S77" s="3">
        <v>7.4</v>
      </c>
      <c r="T77" s="3">
        <v>127.4</v>
      </c>
      <c r="U77" s="3">
        <v>140.1</v>
      </c>
      <c r="V77" s="3">
        <v>3.89</v>
      </c>
      <c r="W77" s="3">
        <v>1.4</v>
      </c>
      <c r="X77" s="3">
        <v>116</v>
      </c>
      <c r="Y77" s="3">
        <v>4.9</v>
      </c>
      <c r="Z77" s="3">
        <v>2.68</v>
      </c>
      <c r="AA77" s="3">
        <v>94</v>
      </c>
      <c r="AB77" s="3">
        <v>13.4</v>
      </c>
      <c r="AC77" s="3">
        <v>98.6</v>
      </c>
      <c r="AD77" s="3">
        <v>50</v>
      </c>
      <c r="AE77" s="3">
        <v>1.09</v>
      </c>
      <c r="AF77" s="3">
        <f t="shared" si="13"/>
        <v>0.0175082288675678</v>
      </c>
      <c r="AG77" s="3">
        <f t="shared" si="14"/>
        <v>3.79154419847329</v>
      </c>
      <c r="AH77" s="3">
        <f t="shared" si="15"/>
        <v>-0.0899999999999999</v>
      </c>
      <c r="AI77" s="4">
        <v>9.5</v>
      </c>
      <c r="AJ77" s="4">
        <v>1.52</v>
      </c>
      <c r="AK77" s="4">
        <v>42.84</v>
      </c>
      <c r="AL77" s="4">
        <v>43.82</v>
      </c>
      <c r="AM77" s="4">
        <v>32.04</v>
      </c>
      <c r="AN77" s="4">
        <v>37.49</v>
      </c>
      <c r="AO77" s="3">
        <v>19</v>
      </c>
      <c r="AP77" s="3">
        <v>14</v>
      </c>
      <c r="AQ77" s="3">
        <v>81</v>
      </c>
      <c r="AR77" s="3">
        <v>199</v>
      </c>
      <c r="AS77" s="3">
        <v>269</v>
      </c>
      <c r="AT77" s="3">
        <v>80</v>
      </c>
      <c r="AU77" s="3">
        <v>14</v>
      </c>
      <c r="AV77" s="3">
        <v>35</v>
      </c>
      <c r="AW77" s="3">
        <v>155</v>
      </c>
      <c r="AX77" s="3">
        <v>989</v>
      </c>
      <c r="AY77" s="3">
        <v>-538</v>
      </c>
      <c r="AZ77" s="3">
        <v>43</v>
      </c>
      <c r="BA77" s="3">
        <v>88</v>
      </c>
      <c r="BB77" s="3">
        <v>51</v>
      </c>
      <c r="BC77" s="3">
        <v>48</v>
      </c>
      <c r="BD77" s="3">
        <v>7</v>
      </c>
      <c r="BE77" s="3">
        <v>669</v>
      </c>
      <c r="BF77" s="3">
        <v>14</v>
      </c>
      <c r="BG77" s="3">
        <v>306</v>
      </c>
      <c r="BH77" s="3">
        <v>2150</v>
      </c>
      <c r="BI77" s="3">
        <v>1</v>
      </c>
      <c r="BJ77" s="3">
        <v>0</v>
      </c>
      <c r="BK77" s="3">
        <v>0</v>
      </c>
      <c r="BL77" s="3">
        <v>0</v>
      </c>
      <c r="BM77" s="3">
        <v>472</v>
      </c>
      <c r="BN77" s="3">
        <v>91</v>
      </c>
      <c r="BO77" s="3">
        <f t="shared" si="12"/>
        <v>0.236224212983217</v>
      </c>
      <c r="BS77" s="5">
        <f t="shared" si="16"/>
        <v>0</v>
      </c>
    </row>
    <row r="78" spans="1:71">
      <c r="A78" s="15"/>
      <c r="B78" s="15"/>
      <c r="C78" s="15"/>
      <c r="D78" s="16" t="s">
        <v>72</v>
      </c>
      <c r="AF78" s="3" t="e">
        <f t="shared" si="13"/>
        <v>#DIV/0!</v>
      </c>
      <c r="AG78" s="3" t="e">
        <f t="shared" si="14"/>
        <v>#DIV/0!</v>
      </c>
      <c r="AH78" s="3">
        <f t="shared" si="15"/>
        <v>0</v>
      </c>
      <c r="BO78" s="3" t="e">
        <f t="shared" si="12"/>
        <v>#DIV/0!</v>
      </c>
      <c r="BS78" s="5" t="e">
        <f t="shared" si="16"/>
        <v>#DIV/0!</v>
      </c>
    </row>
    <row r="79" spans="1:71">
      <c r="A79" s="8">
        <v>12</v>
      </c>
      <c r="B79" s="8"/>
      <c r="C79" s="8" t="s">
        <v>91</v>
      </c>
      <c r="D79" s="9" t="s">
        <v>66</v>
      </c>
      <c r="AF79" s="3" t="e">
        <f t="shared" si="13"/>
        <v>#DIV/0!</v>
      </c>
      <c r="AG79" s="3" t="e">
        <f t="shared" si="14"/>
        <v>#DIV/0!</v>
      </c>
      <c r="AH79" s="3">
        <f t="shared" si="15"/>
        <v>0</v>
      </c>
      <c r="BO79" s="3" t="e">
        <f t="shared" si="12"/>
        <v>#DIV/0!</v>
      </c>
      <c r="BS79" s="5" t="e">
        <f t="shared" si="16"/>
        <v>#DIV/0!</v>
      </c>
    </row>
    <row r="80" spans="1:71">
      <c r="A80" s="10"/>
      <c r="B80" s="10"/>
      <c r="C80" s="10"/>
      <c r="D80" s="9" t="s">
        <v>67</v>
      </c>
      <c r="E80" s="3">
        <v>48.1</v>
      </c>
      <c r="F80" s="3">
        <v>222.7</v>
      </c>
      <c r="H80" s="3">
        <v>7.272</v>
      </c>
      <c r="I80" s="3">
        <v>54.6</v>
      </c>
      <c r="J80" s="3">
        <v>128.5</v>
      </c>
      <c r="K80" s="3">
        <v>7.33</v>
      </c>
      <c r="L80" s="3">
        <v>1.42</v>
      </c>
      <c r="M80" s="3">
        <v>92</v>
      </c>
      <c r="N80" s="3">
        <v>6.4</v>
      </c>
      <c r="O80" s="3">
        <v>3.4</v>
      </c>
      <c r="P80" s="3">
        <v>88</v>
      </c>
      <c r="Q80" s="3">
        <v>20.2</v>
      </c>
      <c r="R80" s="3">
        <v>84.1</v>
      </c>
      <c r="S80" s="3">
        <v>7.272</v>
      </c>
      <c r="T80" s="3">
        <v>34.7</v>
      </c>
      <c r="U80" s="3">
        <v>127.8</v>
      </c>
      <c r="V80" s="3">
        <v>7.51</v>
      </c>
      <c r="W80" s="3">
        <v>1.42</v>
      </c>
      <c r="X80" s="3">
        <v>91</v>
      </c>
      <c r="Y80" s="3">
        <v>6.4</v>
      </c>
      <c r="Z80" s="3">
        <v>3.05</v>
      </c>
      <c r="AA80" s="3">
        <v>88</v>
      </c>
      <c r="AB80" s="3">
        <v>21.2</v>
      </c>
      <c r="AC80" s="3">
        <v>58.5</v>
      </c>
      <c r="AD80" s="3">
        <v>50</v>
      </c>
      <c r="AE80" s="3">
        <v>0.51</v>
      </c>
      <c r="AF80" s="3">
        <f t="shared" si="13"/>
        <v>0.0440229976139535</v>
      </c>
      <c r="AG80" s="3">
        <f t="shared" si="14"/>
        <v>7.05444732824427</v>
      </c>
      <c r="AH80" s="3">
        <f t="shared" si="15"/>
        <v>-0.35</v>
      </c>
      <c r="BO80" s="3">
        <f t="shared" si="12"/>
        <v>0</v>
      </c>
      <c r="BS80" s="5">
        <f t="shared" si="16"/>
        <v>0</v>
      </c>
    </row>
    <row r="81" spans="1:71">
      <c r="A81" s="10"/>
      <c r="B81" s="10"/>
      <c r="C81" s="10"/>
      <c r="D81" s="9" t="s">
        <v>68</v>
      </c>
      <c r="E81" s="3">
        <v>48.1</v>
      </c>
      <c r="F81" s="3">
        <v>222.7</v>
      </c>
      <c r="H81" s="3">
        <v>7.505</v>
      </c>
      <c r="I81" s="3">
        <v>447.4</v>
      </c>
      <c r="J81" s="3">
        <v>128.7</v>
      </c>
      <c r="K81" s="3">
        <v>7.07</v>
      </c>
      <c r="L81" s="3">
        <v>1.33</v>
      </c>
      <c r="M81" s="3">
        <v>94</v>
      </c>
      <c r="N81" s="3">
        <v>6.3</v>
      </c>
      <c r="O81" s="3">
        <v>2.55</v>
      </c>
      <c r="P81" s="3">
        <v>89</v>
      </c>
      <c r="Q81" s="3">
        <v>17.5</v>
      </c>
      <c r="R81" s="3">
        <v>99.9</v>
      </c>
      <c r="S81" s="3">
        <v>7.488</v>
      </c>
      <c r="T81" s="3">
        <v>103.2</v>
      </c>
      <c r="U81" s="3">
        <v>128.7</v>
      </c>
      <c r="V81" s="3">
        <v>7.14</v>
      </c>
      <c r="W81" s="3">
        <v>1.32</v>
      </c>
      <c r="X81" s="3">
        <v>93</v>
      </c>
      <c r="Y81" s="3">
        <v>6.3</v>
      </c>
      <c r="Z81" s="3">
        <v>2.76</v>
      </c>
      <c r="AA81" s="3">
        <v>88</v>
      </c>
      <c r="AB81" s="3">
        <v>17.9</v>
      </c>
      <c r="AC81" s="3">
        <v>98.2</v>
      </c>
      <c r="AD81" s="3">
        <v>51</v>
      </c>
      <c r="AE81" s="3">
        <v>0.61</v>
      </c>
      <c r="AF81" s="3">
        <f t="shared" si="13"/>
        <v>0.0375422350143912</v>
      </c>
      <c r="AG81" s="3">
        <f t="shared" si="14"/>
        <v>3.83845307588684</v>
      </c>
      <c r="AH81" s="3">
        <f t="shared" si="15"/>
        <v>0.21</v>
      </c>
      <c r="BO81" s="3">
        <f t="shared" si="12"/>
        <v>0</v>
      </c>
      <c r="BS81" s="5">
        <f t="shared" si="16"/>
        <v>0</v>
      </c>
    </row>
    <row r="82" spans="1:71">
      <c r="A82" s="10"/>
      <c r="B82" s="10"/>
      <c r="C82" s="10"/>
      <c r="D82" s="9" t="s">
        <v>69</v>
      </c>
      <c r="E82" s="3">
        <v>48.1</v>
      </c>
      <c r="F82" s="3">
        <v>222.7</v>
      </c>
      <c r="H82" s="3">
        <v>7.418</v>
      </c>
      <c r="I82" s="3">
        <v>449.9</v>
      </c>
      <c r="J82" s="3">
        <v>130.9</v>
      </c>
      <c r="K82" s="3">
        <v>7.12</v>
      </c>
      <c r="L82" s="3">
        <v>1.27</v>
      </c>
      <c r="M82" s="3">
        <v>96</v>
      </c>
      <c r="N82" s="3">
        <v>5.9</v>
      </c>
      <c r="O82" s="3">
        <v>2.28</v>
      </c>
      <c r="P82" s="3">
        <v>89</v>
      </c>
      <c r="Q82" s="3">
        <v>17.7</v>
      </c>
      <c r="R82" s="3">
        <v>99.9</v>
      </c>
      <c r="S82" s="3">
        <v>7.398</v>
      </c>
      <c r="T82" s="3">
        <v>98.9</v>
      </c>
      <c r="U82" s="3">
        <v>131</v>
      </c>
      <c r="V82" s="3">
        <v>7.1</v>
      </c>
      <c r="W82" s="3">
        <v>1.28</v>
      </c>
      <c r="X82" s="3">
        <v>96</v>
      </c>
      <c r="Y82" s="3">
        <v>5.7</v>
      </c>
      <c r="Z82" s="3">
        <v>2.15</v>
      </c>
      <c r="AA82" s="3">
        <v>87</v>
      </c>
      <c r="AB82" s="3">
        <v>17.3</v>
      </c>
      <c r="AC82" s="3">
        <v>97.6</v>
      </c>
      <c r="AD82" s="3">
        <v>51</v>
      </c>
      <c r="AE82" s="3">
        <v>0.64</v>
      </c>
      <c r="AF82" s="3">
        <f t="shared" si="13"/>
        <v>0.0357824427480916</v>
      </c>
      <c r="AG82" s="3">
        <f t="shared" si="14"/>
        <v>4.6669880556803</v>
      </c>
      <c r="AH82" s="3">
        <f t="shared" si="15"/>
        <v>-0.13</v>
      </c>
      <c r="BO82" s="3">
        <f t="shared" si="12"/>
        <v>0</v>
      </c>
      <c r="BS82" s="5">
        <f t="shared" si="16"/>
        <v>0</v>
      </c>
    </row>
    <row r="83" s="2" customFormat="1" spans="1:72">
      <c r="A83" s="10"/>
      <c r="B83" s="10"/>
      <c r="C83" s="10"/>
      <c r="D83" s="43" t="s">
        <v>70</v>
      </c>
      <c r="E83" s="3">
        <v>48.1</v>
      </c>
      <c r="F83" s="3">
        <v>222.7</v>
      </c>
      <c r="H83" s="2">
        <v>7.372</v>
      </c>
      <c r="I83" s="2">
        <v>234.3</v>
      </c>
      <c r="J83" s="2">
        <v>133.2</v>
      </c>
      <c r="K83" s="2">
        <v>6.74</v>
      </c>
      <c r="L83" s="2">
        <v>1.2</v>
      </c>
      <c r="M83" s="2">
        <v>101</v>
      </c>
      <c r="N83" s="2">
        <v>15.2</v>
      </c>
      <c r="O83" s="2">
        <v>2.11</v>
      </c>
      <c r="P83" s="2">
        <v>77</v>
      </c>
      <c r="Q83" s="2">
        <v>16.2</v>
      </c>
      <c r="R83" s="2">
        <v>99.5</v>
      </c>
      <c r="S83" s="2">
        <v>7.33</v>
      </c>
      <c r="T83" s="2">
        <v>64</v>
      </c>
      <c r="U83" s="2">
        <v>133.6</v>
      </c>
      <c r="V83" s="2">
        <v>6.79</v>
      </c>
      <c r="W83" s="2">
        <v>1.21</v>
      </c>
      <c r="X83" s="2">
        <v>100</v>
      </c>
      <c r="Y83" s="2">
        <v>15.5</v>
      </c>
      <c r="Z83" s="2">
        <v>2.04</v>
      </c>
      <c r="AA83" s="2">
        <v>78</v>
      </c>
      <c r="AB83" s="2">
        <v>17</v>
      </c>
      <c r="AC83" s="2">
        <v>91.3</v>
      </c>
      <c r="AD83" s="3">
        <v>51</v>
      </c>
      <c r="AE83" s="3">
        <v>0.45</v>
      </c>
      <c r="AF83" s="3">
        <f t="shared" si="13"/>
        <v>0.0508905852417303</v>
      </c>
      <c r="AG83" s="3">
        <f t="shared" si="14"/>
        <v>2.52918185900314</v>
      </c>
      <c r="AH83" s="3">
        <f t="shared" si="15"/>
        <v>-0.0699999999999998</v>
      </c>
      <c r="AI83" s="2">
        <v>6.23</v>
      </c>
      <c r="AJ83" s="2">
        <v>0.52</v>
      </c>
      <c r="AK83" s="2">
        <v>1.49</v>
      </c>
      <c r="AL83" s="2">
        <v>11.62</v>
      </c>
      <c r="AM83" s="2">
        <v>15.73</v>
      </c>
      <c r="AN83" s="2">
        <v>50.29</v>
      </c>
      <c r="AO83" s="2">
        <v>19</v>
      </c>
      <c r="AP83" s="2">
        <v>17</v>
      </c>
      <c r="AQ83" s="2">
        <v>34</v>
      </c>
      <c r="AR83" s="2">
        <v>183</v>
      </c>
      <c r="AS83" s="2">
        <v>125</v>
      </c>
      <c r="AT83" s="2">
        <v>46</v>
      </c>
      <c r="AU83" s="2">
        <v>16</v>
      </c>
      <c r="AV83" s="2">
        <v>72</v>
      </c>
      <c r="AW83" s="2">
        <v>129</v>
      </c>
      <c r="AX83" s="2">
        <v>313</v>
      </c>
      <c r="AY83" s="2">
        <v>-258</v>
      </c>
      <c r="AZ83" s="2">
        <v>19</v>
      </c>
      <c r="BA83" s="2">
        <v>135</v>
      </c>
      <c r="BB83" s="2">
        <v>65</v>
      </c>
      <c r="BC83" s="2">
        <v>66</v>
      </c>
      <c r="BD83" s="2">
        <v>7</v>
      </c>
      <c r="BE83" s="2">
        <v>851</v>
      </c>
      <c r="BF83" s="2">
        <v>11</v>
      </c>
      <c r="BG83" s="2">
        <v>139</v>
      </c>
      <c r="BH83" s="2">
        <v>3197</v>
      </c>
      <c r="BI83" s="2">
        <v>1</v>
      </c>
      <c r="BJ83" s="2">
        <v>0</v>
      </c>
      <c r="BK83" s="2">
        <v>0</v>
      </c>
      <c r="BL83" s="2">
        <v>0</v>
      </c>
      <c r="BM83" s="2">
        <v>95</v>
      </c>
      <c r="BN83" s="2">
        <v>118</v>
      </c>
      <c r="BO83" s="3">
        <f t="shared" si="12"/>
        <v>0.334294350976878</v>
      </c>
      <c r="BR83" s="5"/>
      <c r="BS83" s="5">
        <f t="shared" si="16"/>
        <v>0</v>
      </c>
      <c r="BT83" s="2" t="s">
        <v>92</v>
      </c>
    </row>
    <row r="84" spans="1:71">
      <c r="A84" s="15"/>
      <c r="B84" s="15"/>
      <c r="C84" s="15"/>
      <c r="D84" s="16" t="s">
        <v>72</v>
      </c>
      <c r="E84" s="20"/>
      <c r="AF84" s="3" t="e">
        <f t="shared" si="13"/>
        <v>#DIV/0!</v>
      </c>
      <c r="AG84" s="3" t="e">
        <f t="shared" si="14"/>
        <v>#DIV/0!</v>
      </c>
      <c r="AH84" s="3">
        <f t="shared" si="15"/>
        <v>0</v>
      </c>
      <c r="BO84" s="3" t="e">
        <f t="shared" si="12"/>
        <v>#DIV/0!</v>
      </c>
      <c r="BS84" s="5" t="e">
        <f t="shared" si="16"/>
        <v>#DIV/0!</v>
      </c>
    </row>
    <row r="85" spans="1:71">
      <c r="A85" s="8">
        <v>13</v>
      </c>
      <c r="B85" s="8"/>
      <c r="C85" s="8" t="s">
        <v>93</v>
      </c>
      <c r="D85" s="9" t="s">
        <v>66</v>
      </c>
      <c r="E85" s="3">
        <v>60.3</v>
      </c>
      <c r="F85" s="3">
        <v>263</v>
      </c>
      <c r="AF85" s="3" t="e">
        <f t="shared" si="13"/>
        <v>#DIV/0!</v>
      </c>
      <c r="AG85" s="3">
        <f t="shared" si="14"/>
        <v>0</v>
      </c>
      <c r="AH85" s="3">
        <f t="shared" si="15"/>
        <v>0</v>
      </c>
      <c r="BO85" s="3">
        <f t="shared" si="12"/>
        <v>0</v>
      </c>
      <c r="BS85" s="5">
        <f t="shared" si="16"/>
        <v>0</v>
      </c>
    </row>
    <row r="86" spans="1:71">
      <c r="A86" s="10"/>
      <c r="B86" s="10"/>
      <c r="C86" s="10"/>
      <c r="D86" s="9" t="s">
        <v>67</v>
      </c>
      <c r="E86" s="3">
        <v>60.3</v>
      </c>
      <c r="F86" s="3">
        <v>263</v>
      </c>
      <c r="H86" s="3">
        <v>7.373</v>
      </c>
      <c r="I86" s="3">
        <v>257.2</v>
      </c>
      <c r="J86" s="3">
        <v>137.8</v>
      </c>
      <c r="K86" s="3">
        <v>6.4</v>
      </c>
      <c r="L86" s="3">
        <v>1.21</v>
      </c>
      <c r="M86" s="3">
        <v>112</v>
      </c>
      <c r="N86" s="3">
        <v>8.5</v>
      </c>
      <c r="O86" s="3">
        <v>1.36</v>
      </c>
      <c r="P86" s="3">
        <v>92</v>
      </c>
      <c r="Q86" s="3">
        <v>18.3</v>
      </c>
      <c r="R86" s="3">
        <v>99.6</v>
      </c>
      <c r="S86" s="3">
        <v>7.359</v>
      </c>
      <c r="T86" s="3">
        <v>106</v>
      </c>
      <c r="U86" s="3">
        <v>137.4</v>
      </c>
      <c r="V86" s="3">
        <v>5.71</v>
      </c>
      <c r="W86" s="3">
        <v>1.22</v>
      </c>
      <c r="X86" s="3">
        <v>111</v>
      </c>
      <c r="Y86" s="3">
        <v>7.8</v>
      </c>
      <c r="Z86" s="3">
        <v>1.31</v>
      </c>
      <c r="AA86" s="3">
        <v>92</v>
      </c>
      <c r="AB86" s="3">
        <v>17.5</v>
      </c>
      <c r="AC86" s="3">
        <v>97.7</v>
      </c>
      <c r="AD86" s="3">
        <v>46</v>
      </c>
      <c r="AE86" s="3">
        <v>1.28</v>
      </c>
      <c r="AF86" s="3">
        <f t="shared" si="13"/>
        <v>0.0136644486692015</v>
      </c>
      <c r="AG86" s="3">
        <f t="shared" si="14"/>
        <v>3.42121125475284</v>
      </c>
      <c r="AH86" s="3">
        <f t="shared" si="15"/>
        <v>-0.05</v>
      </c>
      <c r="AI86" s="4">
        <v>8.56</v>
      </c>
      <c r="AJ86" s="4">
        <v>0.28</v>
      </c>
      <c r="AK86" s="4">
        <v>13.5</v>
      </c>
      <c r="AL86" s="4">
        <v>35.32</v>
      </c>
      <c r="AM86" s="4">
        <v>11.29</v>
      </c>
      <c r="AN86" s="4">
        <v>34.5</v>
      </c>
      <c r="AO86" s="3">
        <v>6</v>
      </c>
      <c r="AP86" s="3">
        <v>86</v>
      </c>
      <c r="AQ86" s="3">
        <v>94</v>
      </c>
      <c r="AR86" s="3">
        <v>188</v>
      </c>
      <c r="AS86" s="3">
        <v>230</v>
      </c>
      <c r="AT86" s="3">
        <v>86</v>
      </c>
      <c r="AU86" s="3">
        <v>5</v>
      </c>
      <c r="AV86" s="3">
        <v>57</v>
      </c>
      <c r="AW86" s="3">
        <v>129</v>
      </c>
      <c r="AX86" s="3">
        <v>1159</v>
      </c>
      <c r="AY86" s="3">
        <v>-1042</v>
      </c>
      <c r="AZ86" s="3">
        <v>33</v>
      </c>
      <c r="BA86" s="3">
        <v>35</v>
      </c>
      <c r="BB86" s="3">
        <v>52</v>
      </c>
      <c r="BC86" s="3">
        <v>40</v>
      </c>
      <c r="BD86" s="3">
        <v>15</v>
      </c>
      <c r="BE86" s="3">
        <v>1445</v>
      </c>
      <c r="BF86" s="3">
        <v>27</v>
      </c>
      <c r="BG86" s="3">
        <v>324</v>
      </c>
      <c r="BH86" s="3">
        <v>8375</v>
      </c>
      <c r="BI86" s="3">
        <v>3</v>
      </c>
      <c r="BJ86" s="3">
        <v>0</v>
      </c>
      <c r="BK86" s="3">
        <v>0</v>
      </c>
      <c r="BL86" s="3">
        <v>0</v>
      </c>
      <c r="BM86" s="3">
        <v>497</v>
      </c>
      <c r="BN86" s="3">
        <v>99</v>
      </c>
      <c r="BO86" s="3">
        <f t="shared" si="12"/>
        <v>0.508956676908581</v>
      </c>
      <c r="BS86" s="5">
        <f t="shared" si="16"/>
        <v>0</v>
      </c>
    </row>
    <row r="87" spans="1:71">
      <c r="A87" s="10"/>
      <c r="B87" s="10"/>
      <c r="C87" s="10"/>
      <c r="D87" s="9" t="s">
        <v>68</v>
      </c>
      <c r="E87" s="3">
        <v>60.3</v>
      </c>
      <c r="F87" s="3">
        <v>263</v>
      </c>
      <c r="H87" s="3">
        <v>7.36</v>
      </c>
      <c r="I87" s="3">
        <v>278.6</v>
      </c>
      <c r="J87" s="3">
        <v>137</v>
      </c>
      <c r="K87" s="3">
        <v>5.89</v>
      </c>
      <c r="L87" s="3">
        <v>1.44</v>
      </c>
      <c r="M87" s="3">
        <v>112</v>
      </c>
      <c r="N87" s="3">
        <v>7.4</v>
      </c>
      <c r="O87" s="3">
        <v>1.43</v>
      </c>
      <c r="P87" s="3">
        <v>92</v>
      </c>
      <c r="Q87" s="3">
        <v>19</v>
      </c>
      <c r="R87" s="3">
        <v>99.6</v>
      </c>
      <c r="S87" s="3">
        <v>7.333</v>
      </c>
      <c r="T87" s="3">
        <v>81.4</v>
      </c>
      <c r="U87" s="3">
        <v>137.3</v>
      </c>
      <c r="V87" s="3">
        <v>5.42</v>
      </c>
      <c r="W87" s="3">
        <v>1.95</v>
      </c>
      <c r="X87" s="3">
        <v>115</v>
      </c>
      <c r="Y87" s="3">
        <v>6.7</v>
      </c>
      <c r="Z87" s="3">
        <v>1.44</v>
      </c>
      <c r="AA87" s="3">
        <v>92</v>
      </c>
      <c r="AB87" s="3">
        <v>17.1</v>
      </c>
      <c r="AC87" s="3">
        <v>95.5</v>
      </c>
      <c r="AD87" s="3">
        <v>50</v>
      </c>
      <c r="AE87" s="3">
        <v>1.2</v>
      </c>
      <c r="AF87" s="3">
        <f t="shared" si="13"/>
        <v>0.0158428390367554</v>
      </c>
      <c r="AG87" s="3">
        <f t="shared" si="14"/>
        <v>5.09551939163498</v>
      </c>
      <c r="AH87" s="3">
        <f t="shared" si="15"/>
        <v>0.01</v>
      </c>
      <c r="BO87" s="3">
        <f t="shared" si="12"/>
        <v>0</v>
      </c>
      <c r="BS87" s="5">
        <f t="shared" si="16"/>
        <v>0</v>
      </c>
    </row>
    <row r="88" spans="1:71">
      <c r="A88" s="10"/>
      <c r="B88" s="10"/>
      <c r="C88" s="10"/>
      <c r="D88" s="9" t="s">
        <v>69</v>
      </c>
      <c r="E88" s="3">
        <v>60.3</v>
      </c>
      <c r="F88" s="3">
        <v>263</v>
      </c>
      <c r="H88" s="3">
        <v>7.315</v>
      </c>
      <c r="I88" s="3">
        <v>274</v>
      </c>
      <c r="J88" s="3">
        <v>139</v>
      </c>
      <c r="K88" s="3">
        <v>5.89</v>
      </c>
      <c r="L88" s="3">
        <v>1.42</v>
      </c>
      <c r="M88" s="3">
        <v>113</v>
      </c>
      <c r="N88" s="3">
        <v>4.7</v>
      </c>
      <c r="O88" s="3">
        <v>0.78</v>
      </c>
      <c r="P88" s="3">
        <v>97</v>
      </c>
      <c r="Q88" s="3">
        <v>18</v>
      </c>
      <c r="R88" s="3">
        <v>99.6</v>
      </c>
      <c r="S88" s="3">
        <v>7.284</v>
      </c>
      <c r="T88" s="3">
        <v>89.4</v>
      </c>
      <c r="U88" s="3">
        <v>140</v>
      </c>
      <c r="V88" s="3">
        <v>5.78</v>
      </c>
      <c r="W88" s="3">
        <v>1.45</v>
      </c>
      <c r="X88" s="3">
        <v>114</v>
      </c>
      <c r="Y88" s="3">
        <v>4.4</v>
      </c>
      <c r="Z88" s="3">
        <v>0.8</v>
      </c>
      <c r="AA88" s="3">
        <v>97</v>
      </c>
      <c r="AB88" s="3">
        <v>16.9</v>
      </c>
      <c r="AC88" s="3">
        <v>95.5</v>
      </c>
      <c r="AD88" s="3">
        <v>51</v>
      </c>
      <c r="AE88" s="3">
        <v>1.1</v>
      </c>
      <c r="AF88" s="3">
        <f t="shared" si="13"/>
        <v>0.017628759073626</v>
      </c>
      <c r="AG88" s="3">
        <f t="shared" si="14"/>
        <v>4.62241749049428</v>
      </c>
      <c r="AH88" s="3">
        <f t="shared" si="15"/>
        <v>0.02</v>
      </c>
      <c r="BO88" s="3">
        <f t="shared" si="12"/>
        <v>0</v>
      </c>
      <c r="BS88" s="5">
        <f t="shared" si="16"/>
        <v>0</v>
      </c>
    </row>
    <row r="89" spans="1:71">
      <c r="A89" s="10"/>
      <c r="B89" s="10"/>
      <c r="C89" s="10"/>
      <c r="D89" s="43" t="s">
        <v>70</v>
      </c>
      <c r="E89" s="3">
        <v>60.3</v>
      </c>
      <c r="F89" s="3">
        <v>263</v>
      </c>
      <c r="G89" s="3">
        <v>362</v>
      </c>
      <c r="AF89" s="3" t="e">
        <f t="shared" si="13"/>
        <v>#DIV/0!</v>
      </c>
      <c r="AG89" s="3">
        <f t="shared" si="14"/>
        <v>0</v>
      </c>
      <c r="AH89" s="3">
        <f t="shared" si="15"/>
        <v>0</v>
      </c>
      <c r="AI89" s="4">
        <v>8.49</v>
      </c>
      <c r="AJ89" s="4">
        <v>0.36</v>
      </c>
      <c r="AK89" s="4">
        <v>49.03</v>
      </c>
      <c r="AL89" s="4">
        <v>26.78</v>
      </c>
      <c r="AM89" s="4">
        <v>15.62</v>
      </c>
      <c r="AN89" s="4">
        <v>36.02</v>
      </c>
      <c r="AO89" s="3">
        <v>13</v>
      </c>
      <c r="AP89" s="3">
        <v>85</v>
      </c>
      <c r="AQ89" s="3">
        <v>87</v>
      </c>
      <c r="AR89" s="3">
        <v>205</v>
      </c>
      <c r="AS89" s="3">
        <v>200</v>
      </c>
      <c r="AT89" s="3">
        <v>84</v>
      </c>
      <c r="AU89" s="3">
        <v>11</v>
      </c>
      <c r="AV89" s="3">
        <v>49</v>
      </c>
      <c r="AW89" s="3">
        <v>150</v>
      </c>
      <c r="AX89" s="3">
        <v>1123</v>
      </c>
      <c r="AY89" s="3">
        <v>-907</v>
      </c>
      <c r="AZ89" s="3">
        <v>43</v>
      </c>
      <c r="BA89" s="3">
        <v>64</v>
      </c>
      <c r="BB89" s="3">
        <v>56</v>
      </c>
      <c r="BC89" s="3">
        <v>48</v>
      </c>
      <c r="BD89" s="3">
        <v>9</v>
      </c>
      <c r="BE89" s="3">
        <v>935</v>
      </c>
      <c r="BF89" s="3">
        <v>17</v>
      </c>
      <c r="BG89" s="3">
        <v>462</v>
      </c>
      <c r="BH89" s="3">
        <v>6041</v>
      </c>
      <c r="BI89" s="3">
        <v>2</v>
      </c>
      <c r="BJ89" s="3">
        <v>0</v>
      </c>
      <c r="BK89" s="3">
        <v>0</v>
      </c>
      <c r="BL89" s="3">
        <v>0</v>
      </c>
      <c r="BM89" s="3">
        <v>599</v>
      </c>
      <c r="BN89" s="3">
        <v>100</v>
      </c>
      <c r="BO89" s="3">
        <f t="shared" si="12"/>
        <v>0.329324908587905</v>
      </c>
      <c r="BS89" s="5">
        <f t="shared" si="16"/>
        <v>0</v>
      </c>
    </row>
    <row r="90" spans="1:71">
      <c r="A90" s="15"/>
      <c r="B90" s="15"/>
      <c r="C90" s="15"/>
      <c r="D90" s="16" t="s">
        <v>72</v>
      </c>
      <c r="AF90" s="3" t="e">
        <f t="shared" si="13"/>
        <v>#DIV/0!</v>
      </c>
      <c r="AG90" s="3" t="e">
        <f t="shared" si="14"/>
        <v>#DIV/0!</v>
      </c>
      <c r="AH90" s="3">
        <f t="shared" si="15"/>
        <v>0</v>
      </c>
      <c r="BO90" s="3" t="e">
        <f t="shared" si="12"/>
        <v>#DIV/0!</v>
      </c>
      <c r="BS90" s="5" t="e">
        <f t="shared" si="16"/>
        <v>#DIV/0!</v>
      </c>
    </row>
    <row r="91" spans="1:71">
      <c r="A91" s="8">
        <v>14</v>
      </c>
      <c r="B91" s="8"/>
      <c r="C91" s="8" t="s">
        <v>94</v>
      </c>
      <c r="D91" s="9" t="s">
        <v>66</v>
      </c>
      <c r="E91" s="3">
        <v>52.7</v>
      </c>
      <c r="F91" s="3">
        <v>252</v>
      </c>
      <c r="AF91" s="3" t="e">
        <f t="shared" si="13"/>
        <v>#DIV/0!</v>
      </c>
      <c r="AG91" s="3">
        <f t="shared" si="14"/>
        <v>0</v>
      </c>
      <c r="AH91" s="3">
        <f t="shared" si="15"/>
        <v>0</v>
      </c>
      <c r="BO91" s="3">
        <f t="shared" si="12"/>
        <v>0</v>
      </c>
      <c r="BS91" s="5">
        <f t="shared" si="16"/>
        <v>0</v>
      </c>
    </row>
    <row r="92" spans="1:71">
      <c r="A92" s="10"/>
      <c r="B92" s="10"/>
      <c r="C92" s="10"/>
      <c r="D92" s="9" t="s">
        <v>67</v>
      </c>
      <c r="E92" s="3">
        <v>52.7</v>
      </c>
      <c r="F92" s="3">
        <v>252</v>
      </c>
      <c r="H92" s="3">
        <v>7.474</v>
      </c>
      <c r="I92" s="3">
        <v>323.9</v>
      </c>
      <c r="J92" s="3">
        <v>139.1</v>
      </c>
      <c r="K92" s="3">
        <v>3.93</v>
      </c>
      <c r="L92" s="3">
        <v>1.39</v>
      </c>
      <c r="M92" s="3">
        <v>111</v>
      </c>
      <c r="N92" s="3">
        <v>4.7</v>
      </c>
      <c r="O92" s="3">
        <v>1.61</v>
      </c>
      <c r="P92" s="3">
        <v>97</v>
      </c>
      <c r="Q92" s="3">
        <v>18.4</v>
      </c>
      <c r="R92" s="3">
        <v>99.8</v>
      </c>
      <c r="S92" s="3">
        <v>7.46</v>
      </c>
      <c r="T92" s="3">
        <v>82.5</v>
      </c>
      <c r="U92" s="3">
        <v>139.7</v>
      </c>
      <c r="V92" s="3">
        <v>3.92</v>
      </c>
      <c r="W92" s="3">
        <v>1.38</v>
      </c>
      <c r="X92" s="3">
        <v>112</v>
      </c>
      <c r="Y92" s="3">
        <v>4.9</v>
      </c>
      <c r="Z92" s="3">
        <v>1.68</v>
      </c>
      <c r="AA92" s="3">
        <v>97</v>
      </c>
      <c r="AB92" s="3">
        <v>18.7</v>
      </c>
      <c r="AC92" s="3">
        <v>96.8</v>
      </c>
      <c r="AD92" s="3">
        <v>53</v>
      </c>
      <c r="AE92" s="3">
        <v>0.46</v>
      </c>
      <c r="AF92" s="3">
        <f t="shared" si="13"/>
        <v>0.0457211870255349</v>
      </c>
      <c r="AG92" s="3">
        <f t="shared" si="14"/>
        <v>2.0778126984127</v>
      </c>
      <c r="AH92" s="3">
        <f t="shared" si="15"/>
        <v>0.0699999999999998</v>
      </c>
      <c r="AI92" s="4">
        <v>15.4</v>
      </c>
      <c r="AJ92" s="4">
        <v>0.39</v>
      </c>
      <c r="AK92" s="4">
        <v>78.59</v>
      </c>
      <c r="AL92" s="4">
        <v>30.91</v>
      </c>
      <c r="AM92" s="4">
        <v>17.35</v>
      </c>
      <c r="AN92" s="4">
        <v>50.6</v>
      </c>
      <c r="AO92" s="3">
        <v>4</v>
      </c>
      <c r="AP92" s="3">
        <v>1</v>
      </c>
      <c r="AQ92" s="3">
        <v>97</v>
      </c>
      <c r="AR92" s="3">
        <v>219</v>
      </c>
      <c r="AS92" s="3">
        <v>202</v>
      </c>
      <c r="AT92" s="3">
        <v>77</v>
      </c>
      <c r="AU92" s="3">
        <v>1</v>
      </c>
      <c r="AV92" s="3">
        <v>49</v>
      </c>
      <c r="AW92" s="3">
        <v>134</v>
      </c>
      <c r="AX92" s="3">
        <v>1002</v>
      </c>
      <c r="AY92" s="3">
        <v>-1173</v>
      </c>
      <c r="AZ92" s="3">
        <v>40</v>
      </c>
      <c r="BA92" s="3">
        <v>28</v>
      </c>
      <c r="BB92" s="3">
        <v>80</v>
      </c>
      <c r="BC92" s="3">
        <v>75</v>
      </c>
      <c r="BD92" s="3">
        <v>19</v>
      </c>
      <c r="BE92" s="3">
        <v>1895</v>
      </c>
      <c r="BF92" s="3">
        <v>23</v>
      </c>
      <c r="BG92" s="3">
        <v>494</v>
      </c>
      <c r="BH92" s="3">
        <v>7129</v>
      </c>
      <c r="BI92" s="3">
        <v>1</v>
      </c>
      <c r="BJ92" s="3">
        <v>0</v>
      </c>
      <c r="BK92" s="3">
        <v>0</v>
      </c>
      <c r="BL92" s="3">
        <v>0</v>
      </c>
      <c r="BM92" s="3">
        <v>915</v>
      </c>
      <c r="BN92" s="3">
        <v>98</v>
      </c>
      <c r="BO92" s="3">
        <f t="shared" si="12"/>
        <v>0.686427066175848</v>
      </c>
      <c r="BS92" s="5">
        <f t="shared" si="16"/>
        <v>0</v>
      </c>
    </row>
    <row r="93" spans="1:71">
      <c r="A93" s="10"/>
      <c r="B93" s="10"/>
      <c r="C93" s="10"/>
      <c r="D93" s="9" t="s">
        <v>68</v>
      </c>
      <c r="E93" s="3">
        <v>52.7</v>
      </c>
      <c r="F93" s="3">
        <v>252</v>
      </c>
      <c r="AF93" s="3" t="e">
        <f t="shared" si="13"/>
        <v>#DIV/0!</v>
      </c>
      <c r="AG93" s="3">
        <f t="shared" si="14"/>
        <v>0</v>
      </c>
      <c r="AH93" s="3">
        <f t="shared" si="15"/>
        <v>0</v>
      </c>
      <c r="BO93" s="3">
        <f t="shared" si="12"/>
        <v>0</v>
      </c>
      <c r="BS93" s="5">
        <f t="shared" si="16"/>
        <v>0</v>
      </c>
    </row>
    <row r="94" spans="1:71">
      <c r="A94" s="10"/>
      <c r="B94" s="10"/>
      <c r="C94" s="10"/>
      <c r="D94" s="9" t="s">
        <v>69</v>
      </c>
      <c r="E94" s="3">
        <v>52.7</v>
      </c>
      <c r="F94" s="3">
        <v>252</v>
      </c>
      <c r="H94" s="3">
        <v>7.321</v>
      </c>
      <c r="I94" s="3">
        <v>261.5</v>
      </c>
      <c r="J94" s="3">
        <v>132.4</v>
      </c>
      <c r="K94" s="3">
        <v>3.49</v>
      </c>
      <c r="L94" s="3">
        <v>1.3</v>
      </c>
      <c r="M94" s="3">
        <v>107</v>
      </c>
      <c r="N94" s="3">
        <v>20.1</v>
      </c>
      <c r="O94" s="3">
        <v>1.18</v>
      </c>
      <c r="P94" s="3">
        <v>93</v>
      </c>
      <c r="Q94" s="3">
        <v>18.5</v>
      </c>
      <c r="R94" s="3">
        <v>99.6</v>
      </c>
      <c r="S94" s="3">
        <v>7.303</v>
      </c>
      <c r="T94" s="3">
        <v>104.4</v>
      </c>
      <c r="U94" s="3">
        <v>130</v>
      </c>
      <c r="V94" s="3">
        <v>3.43</v>
      </c>
      <c r="W94" s="3">
        <v>1.29</v>
      </c>
      <c r="X94" s="3">
        <v>105</v>
      </c>
      <c r="Y94" s="3">
        <v>23.7</v>
      </c>
      <c r="Z94" s="3">
        <v>1.07</v>
      </c>
      <c r="AA94" s="3">
        <v>93</v>
      </c>
      <c r="AB94" s="3">
        <v>17.3</v>
      </c>
      <c r="AC94" s="3">
        <v>97.3</v>
      </c>
      <c r="AD94" s="3">
        <v>48</v>
      </c>
      <c r="AE94" s="3">
        <v>1.24</v>
      </c>
      <c r="AF94" s="3">
        <f t="shared" si="13"/>
        <v>0.0153609831029186</v>
      </c>
      <c r="AG94" s="3">
        <f t="shared" si="14"/>
        <v>3.80678031746032</v>
      </c>
      <c r="AH94" s="3">
        <f t="shared" si="15"/>
        <v>-0.11</v>
      </c>
      <c r="BO94" s="3">
        <f t="shared" si="12"/>
        <v>0</v>
      </c>
      <c r="BS94" s="5">
        <f t="shared" si="16"/>
        <v>0</v>
      </c>
    </row>
    <row r="95" spans="1:71">
      <c r="A95" s="10"/>
      <c r="B95" s="10"/>
      <c r="C95" s="10"/>
      <c r="D95" s="43" t="s">
        <v>70</v>
      </c>
      <c r="E95" s="3">
        <v>52.7</v>
      </c>
      <c r="F95" s="3">
        <v>252</v>
      </c>
      <c r="AF95" s="3" t="e">
        <f t="shared" si="13"/>
        <v>#DIV/0!</v>
      </c>
      <c r="AG95" s="3">
        <f t="shared" si="14"/>
        <v>0</v>
      </c>
      <c r="AH95" s="3">
        <f t="shared" si="15"/>
        <v>0</v>
      </c>
      <c r="AI95" s="3">
        <v>18.35</v>
      </c>
      <c r="AJ95" s="3">
        <v>0.42</v>
      </c>
      <c r="AK95" s="3">
        <v>61.88</v>
      </c>
      <c r="AL95" s="3">
        <v>17.74</v>
      </c>
      <c r="AM95" s="3">
        <v>21.49</v>
      </c>
      <c r="AN95" s="3">
        <v>49.38</v>
      </c>
      <c r="AO95" s="3">
        <v>6</v>
      </c>
      <c r="AP95" s="3">
        <v>4</v>
      </c>
      <c r="AQ95" s="3">
        <v>104</v>
      </c>
      <c r="AR95" s="3">
        <v>226</v>
      </c>
      <c r="AS95" s="3">
        <v>263</v>
      </c>
      <c r="AT95" s="3">
        <v>87</v>
      </c>
      <c r="AU95" s="3">
        <v>3</v>
      </c>
      <c r="AV95" s="3">
        <v>37</v>
      </c>
      <c r="AW95" s="3">
        <v>127</v>
      </c>
      <c r="AX95" s="3">
        <v>1161</v>
      </c>
      <c r="AY95" s="3">
        <v>-1110</v>
      </c>
      <c r="AZ95" s="3">
        <v>50</v>
      </c>
      <c r="BA95" s="3">
        <v>33</v>
      </c>
      <c r="BB95" s="3">
        <v>75</v>
      </c>
      <c r="BC95" s="3">
        <v>66</v>
      </c>
      <c r="BD95" s="3">
        <v>18</v>
      </c>
      <c r="BE95" s="3">
        <v>1643</v>
      </c>
      <c r="BF95" s="3">
        <v>24</v>
      </c>
      <c r="BG95" s="3">
        <v>750</v>
      </c>
      <c r="BH95" s="3">
        <v>8074</v>
      </c>
      <c r="BI95" s="3">
        <v>1</v>
      </c>
      <c r="BJ95" s="3">
        <v>0</v>
      </c>
      <c r="BK95" s="3">
        <v>0</v>
      </c>
      <c r="BL95" s="3">
        <v>0</v>
      </c>
      <c r="BM95" s="3">
        <v>1156</v>
      </c>
      <c r="BN95" s="3">
        <v>92</v>
      </c>
      <c r="BO95" s="3">
        <f t="shared" si="12"/>
        <v>0.595144944446923</v>
      </c>
      <c r="BS95" s="5">
        <f t="shared" si="16"/>
        <v>0</v>
      </c>
    </row>
    <row r="96" spans="1:71">
      <c r="A96" s="15"/>
      <c r="B96" s="15"/>
      <c r="C96" s="15"/>
      <c r="D96" s="16" t="s">
        <v>72</v>
      </c>
      <c r="AF96" s="3" t="e">
        <f t="shared" si="13"/>
        <v>#DIV/0!</v>
      </c>
      <c r="AG96" s="3" t="e">
        <f t="shared" si="14"/>
        <v>#DIV/0!</v>
      </c>
      <c r="AH96" s="3">
        <f t="shared" si="15"/>
        <v>0</v>
      </c>
      <c r="AI96" s="3"/>
      <c r="AJ96" s="3"/>
      <c r="AK96" s="3"/>
      <c r="AL96" s="3"/>
      <c r="AM96" s="3"/>
      <c r="AN96" s="3"/>
      <c r="BO96" s="3" t="e">
        <f t="shared" si="12"/>
        <v>#DIV/0!</v>
      </c>
      <c r="BS96" s="5" t="e">
        <f t="shared" si="16"/>
        <v>#DIV/0!</v>
      </c>
    </row>
    <row r="97" spans="1:71">
      <c r="A97" s="8">
        <v>15</v>
      </c>
      <c r="B97" s="8"/>
      <c r="C97" s="44" t="s">
        <v>95</v>
      </c>
      <c r="D97" s="9" t="s">
        <v>66</v>
      </c>
      <c r="E97" s="3">
        <v>54.7</v>
      </c>
      <c r="F97" s="3">
        <v>268</v>
      </c>
      <c r="AF97" s="3" t="e">
        <f t="shared" si="13"/>
        <v>#DIV/0!</v>
      </c>
      <c r="AG97" s="3">
        <f t="shared" si="14"/>
        <v>0</v>
      </c>
      <c r="AH97" s="3">
        <f t="shared" si="15"/>
        <v>0</v>
      </c>
      <c r="BO97" s="3">
        <f t="shared" si="12"/>
        <v>0</v>
      </c>
      <c r="BQ97" s="46"/>
      <c r="BS97" s="5">
        <f t="shared" si="16"/>
        <v>0</v>
      </c>
    </row>
    <row r="98" spans="1:71">
      <c r="A98" s="10"/>
      <c r="B98" s="10"/>
      <c r="C98" s="10"/>
      <c r="D98" s="9" t="s">
        <v>67</v>
      </c>
      <c r="E98" s="3">
        <v>54.7</v>
      </c>
      <c r="F98" s="3">
        <v>268</v>
      </c>
      <c r="H98" s="3">
        <v>7.332</v>
      </c>
      <c r="I98" s="3">
        <v>57.7</v>
      </c>
      <c r="J98" s="3">
        <v>137.5</v>
      </c>
      <c r="K98" s="3">
        <v>3.93</v>
      </c>
      <c r="L98" s="3">
        <v>1.22</v>
      </c>
      <c r="M98" s="3">
        <v>108</v>
      </c>
      <c r="N98" s="3">
        <v>3.5</v>
      </c>
      <c r="O98" s="3">
        <v>1.18</v>
      </c>
      <c r="P98" s="3">
        <v>84</v>
      </c>
      <c r="Q98" s="3">
        <v>22.5</v>
      </c>
      <c r="R98" s="3">
        <v>88.7</v>
      </c>
      <c r="S98" s="3">
        <v>7.333</v>
      </c>
      <c r="T98" s="3">
        <v>48.8</v>
      </c>
      <c r="U98" s="3">
        <v>131</v>
      </c>
      <c r="V98" s="3">
        <v>4.67</v>
      </c>
      <c r="W98" s="3">
        <v>1.17</v>
      </c>
      <c r="X98" s="3">
        <v>103</v>
      </c>
      <c r="Y98" s="3">
        <v>3.2</v>
      </c>
      <c r="Z98" s="3">
        <v>0.92</v>
      </c>
      <c r="AA98" s="3">
        <v>84</v>
      </c>
      <c r="AB98" s="3">
        <v>21.6</v>
      </c>
      <c r="AC98" s="3">
        <v>81.9</v>
      </c>
      <c r="AD98" s="3">
        <v>46</v>
      </c>
      <c r="AE98" s="3">
        <v>0.69</v>
      </c>
      <c r="AF98" s="3">
        <f t="shared" si="13"/>
        <v>0.0248756218905473</v>
      </c>
      <c r="AG98" s="3">
        <f t="shared" si="14"/>
        <v>2.04167395522388</v>
      </c>
      <c r="AH98" s="3">
        <f t="shared" si="15"/>
        <v>-0.26</v>
      </c>
      <c r="AI98" s="37">
        <v>1.09</v>
      </c>
      <c r="AJ98" s="37">
        <v>0</v>
      </c>
      <c r="AK98" s="37">
        <v>0.5</v>
      </c>
      <c r="AL98" s="37">
        <v>13.21</v>
      </c>
      <c r="AM98" s="37">
        <v>1.89</v>
      </c>
      <c r="AN98" s="37">
        <v>49.08</v>
      </c>
      <c r="AO98" s="3">
        <v>6</v>
      </c>
      <c r="AP98" s="3">
        <v>49</v>
      </c>
      <c r="AQ98" s="3">
        <v>51</v>
      </c>
      <c r="AR98" s="3">
        <v>211</v>
      </c>
      <c r="AS98" s="3">
        <v>251</v>
      </c>
      <c r="AT98" s="3">
        <v>46</v>
      </c>
      <c r="AU98" s="3">
        <v>3</v>
      </c>
      <c r="AV98" s="3">
        <v>54</v>
      </c>
      <c r="AW98" s="3">
        <v>134</v>
      </c>
      <c r="AX98" s="3">
        <v>613</v>
      </c>
      <c r="AY98" s="3">
        <v>-481</v>
      </c>
      <c r="AZ98" s="3">
        <v>34</v>
      </c>
      <c r="BA98" s="3">
        <v>47</v>
      </c>
      <c r="BB98" s="3">
        <v>87</v>
      </c>
      <c r="BC98" s="3">
        <v>88</v>
      </c>
      <c r="BD98" s="3">
        <v>13</v>
      </c>
      <c r="BE98" s="3">
        <v>1194</v>
      </c>
      <c r="BF98" s="3">
        <v>14</v>
      </c>
      <c r="BG98" s="3">
        <v>370</v>
      </c>
      <c r="BH98" s="3">
        <v>6958</v>
      </c>
      <c r="BI98" s="3">
        <v>1</v>
      </c>
      <c r="BJ98" s="3">
        <v>0</v>
      </c>
      <c r="BK98" s="3">
        <v>0</v>
      </c>
      <c r="BL98" s="3">
        <v>0</v>
      </c>
      <c r="BM98" s="3">
        <v>176</v>
      </c>
      <c r="BN98" s="3">
        <v>92</v>
      </c>
      <c r="BO98" s="3">
        <f t="shared" si="12"/>
        <v>0.415385987405698</v>
      </c>
      <c r="BQ98" s="47"/>
      <c r="BS98" s="5">
        <f t="shared" si="16"/>
        <v>0</v>
      </c>
    </row>
    <row r="99" spans="1:71">
      <c r="A99" s="10"/>
      <c r="B99" s="10"/>
      <c r="C99" s="10"/>
      <c r="D99" s="9" t="s">
        <v>68</v>
      </c>
      <c r="E99" s="3">
        <v>54.7</v>
      </c>
      <c r="F99" s="3">
        <v>268</v>
      </c>
      <c r="AF99" s="3" t="e">
        <f t="shared" si="13"/>
        <v>#DIV/0!</v>
      </c>
      <c r="AG99" s="3">
        <f t="shared" si="14"/>
        <v>0</v>
      </c>
      <c r="AH99" s="3">
        <f t="shared" si="15"/>
        <v>0</v>
      </c>
      <c r="BO99" s="3">
        <f t="shared" si="12"/>
        <v>0</v>
      </c>
      <c r="BQ99" s="47"/>
      <c r="BS99" s="5">
        <f t="shared" si="16"/>
        <v>0</v>
      </c>
    </row>
    <row r="100" spans="1:71">
      <c r="A100" s="10"/>
      <c r="B100" s="10"/>
      <c r="C100" s="10"/>
      <c r="D100" s="9" t="s">
        <v>69</v>
      </c>
      <c r="E100" s="3">
        <v>54.7</v>
      </c>
      <c r="F100" s="3">
        <v>268</v>
      </c>
      <c r="H100" s="3">
        <v>7.335</v>
      </c>
      <c r="I100" s="3">
        <v>414.9</v>
      </c>
      <c r="J100" s="3">
        <v>140.9</v>
      </c>
      <c r="K100" s="3">
        <v>3.93</v>
      </c>
      <c r="L100" s="3">
        <v>1.37</v>
      </c>
      <c r="M100" s="3">
        <v>112</v>
      </c>
      <c r="N100" s="3">
        <v>2.6</v>
      </c>
      <c r="O100" s="3">
        <v>2.43</v>
      </c>
      <c r="P100" s="3">
        <v>81</v>
      </c>
      <c r="Q100" s="3">
        <v>17.8</v>
      </c>
      <c r="R100" s="3">
        <v>99.9</v>
      </c>
      <c r="S100" s="3">
        <v>7.526</v>
      </c>
      <c r="T100" s="3">
        <v>148.1</v>
      </c>
      <c r="U100" s="3">
        <v>141</v>
      </c>
      <c r="V100" s="3">
        <v>3.9</v>
      </c>
      <c r="W100" s="3">
        <v>1.37</v>
      </c>
      <c r="X100" s="3">
        <v>113</v>
      </c>
      <c r="Y100" s="3">
        <v>2.5</v>
      </c>
      <c r="Z100" s="3">
        <v>2.44</v>
      </c>
      <c r="AA100" s="3">
        <v>81</v>
      </c>
      <c r="AB100" s="3">
        <v>17.7</v>
      </c>
      <c r="AC100" s="3">
        <v>99.2</v>
      </c>
      <c r="AD100" s="3">
        <v>51</v>
      </c>
      <c r="AE100" s="3">
        <v>0.53</v>
      </c>
      <c r="AF100" s="3">
        <f t="shared" si="13"/>
        <v>0.0359053787665446</v>
      </c>
      <c r="AG100" s="3">
        <f t="shared" si="14"/>
        <v>1.78589828358209</v>
      </c>
      <c r="AH100" s="3">
        <f t="shared" si="15"/>
        <v>0.00999999999999979</v>
      </c>
      <c r="BO100" s="3">
        <f t="shared" si="12"/>
        <v>0</v>
      </c>
      <c r="BQ100" s="47"/>
      <c r="BS100" s="5">
        <f t="shared" si="16"/>
        <v>0</v>
      </c>
    </row>
    <row r="101" s="2" customFormat="1" spans="1:71">
      <c r="A101" s="10"/>
      <c r="B101" s="10"/>
      <c r="C101" s="10"/>
      <c r="D101" s="43" t="s">
        <v>70</v>
      </c>
      <c r="E101" s="3">
        <v>54.7</v>
      </c>
      <c r="F101" s="3">
        <v>268</v>
      </c>
      <c r="G101" s="2">
        <v>277</v>
      </c>
      <c r="H101" s="2">
        <v>7.505</v>
      </c>
      <c r="I101" s="2">
        <v>293</v>
      </c>
      <c r="J101" s="2">
        <v>144.6</v>
      </c>
      <c r="K101" s="2">
        <v>4.13</v>
      </c>
      <c r="L101" s="2">
        <v>1.41</v>
      </c>
      <c r="M101" s="2">
        <v>112</v>
      </c>
      <c r="N101" s="2">
        <v>3.3</v>
      </c>
      <c r="O101" s="2">
        <v>2.48</v>
      </c>
      <c r="P101" s="2">
        <v>80</v>
      </c>
      <c r="Q101" s="2">
        <v>17.9</v>
      </c>
      <c r="R101" s="2">
        <v>99.7</v>
      </c>
      <c r="S101" s="2">
        <v>7.528</v>
      </c>
      <c r="T101" s="2">
        <v>76.9</v>
      </c>
      <c r="U101" s="2">
        <v>145.3</v>
      </c>
      <c r="V101" s="2">
        <v>4.19</v>
      </c>
      <c r="W101" s="2">
        <v>1.41</v>
      </c>
      <c r="X101" s="2">
        <v>112</v>
      </c>
      <c r="Y101" s="2">
        <v>3.3</v>
      </c>
      <c r="Z101" s="2">
        <v>2.32</v>
      </c>
      <c r="AA101" s="2">
        <v>80</v>
      </c>
      <c r="AB101" s="2">
        <v>16</v>
      </c>
      <c r="AC101" s="2">
        <v>99.4</v>
      </c>
      <c r="AD101" s="2">
        <v>48</v>
      </c>
      <c r="AE101" s="2">
        <v>0.78</v>
      </c>
      <c r="AF101" s="3">
        <f t="shared" si="13"/>
        <v>0.0229621125143513</v>
      </c>
      <c r="AG101" s="3">
        <f t="shared" si="14"/>
        <v>2.04333805970149</v>
      </c>
      <c r="AH101" s="3">
        <f t="shared" si="15"/>
        <v>-0.16</v>
      </c>
      <c r="AI101" s="2">
        <v>5.08</v>
      </c>
      <c r="AJ101" s="2">
        <v>0.48</v>
      </c>
      <c r="AK101" s="2">
        <v>28.77</v>
      </c>
      <c r="AL101" s="2">
        <v>25.36</v>
      </c>
      <c r="AM101" s="2">
        <v>7.83</v>
      </c>
      <c r="AN101" s="2">
        <v>42.76</v>
      </c>
      <c r="AO101" s="2">
        <v>12</v>
      </c>
      <c r="AP101" s="2">
        <v>8</v>
      </c>
      <c r="AQ101" s="2">
        <v>57</v>
      </c>
      <c r="AR101" s="2">
        <v>245</v>
      </c>
      <c r="AS101" s="2">
        <v>191</v>
      </c>
      <c r="AT101" s="2">
        <v>55</v>
      </c>
      <c r="AU101" s="2">
        <v>8</v>
      </c>
      <c r="AV101" s="2">
        <v>40</v>
      </c>
      <c r="AW101" s="2">
        <v>112</v>
      </c>
      <c r="AX101" s="2">
        <v>613</v>
      </c>
      <c r="AY101" s="2">
        <v>-596</v>
      </c>
      <c r="AZ101" s="2">
        <v>42</v>
      </c>
      <c r="BA101" s="2">
        <v>58</v>
      </c>
      <c r="BB101" s="2">
        <v>57</v>
      </c>
      <c r="BC101" s="2">
        <v>59</v>
      </c>
      <c r="BD101" s="2">
        <v>10</v>
      </c>
      <c r="BE101" s="2">
        <v>1023</v>
      </c>
      <c r="BF101" s="2">
        <v>17</v>
      </c>
      <c r="BG101" s="2">
        <v>381</v>
      </c>
      <c r="BH101" s="2">
        <v>8205</v>
      </c>
      <c r="BI101" s="2">
        <v>3</v>
      </c>
      <c r="BJ101" s="2">
        <v>0</v>
      </c>
      <c r="BK101" s="2">
        <v>0</v>
      </c>
      <c r="BL101" s="2">
        <v>0</v>
      </c>
      <c r="BM101" s="2">
        <v>93</v>
      </c>
      <c r="BN101" s="2">
        <v>100</v>
      </c>
      <c r="BO101" s="3">
        <f t="shared" si="12"/>
        <v>0.355896034435536</v>
      </c>
      <c r="BQ101" s="47"/>
      <c r="BR101" s="5"/>
      <c r="BS101" s="5">
        <f t="shared" si="16"/>
        <v>0</v>
      </c>
    </row>
    <row r="102" spans="1:71">
      <c r="A102" s="15"/>
      <c r="B102" s="15"/>
      <c r="C102" s="15"/>
      <c r="D102" s="16" t="s">
        <v>72</v>
      </c>
      <c r="AF102" s="3" t="e">
        <f t="shared" si="13"/>
        <v>#DIV/0!</v>
      </c>
      <c r="AG102" s="3" t="e">
        <f t="shared" si="14"/>
        <v>#DIV/0!</v>
      </c>
      <c r="AH102" s="3">
        <f t="shared" si="15"/>
        <v>0</v>
      </c>
      <c r="BO102" s="3" t="e">
        <f t="shared" si="12"/>
        <v>#DIV/0!</v>
      </c>
      <c r="BQ102" s="48"/>
      <c r="BS102" s="5" t="e">
        <f t="shared" si="16"/>
        <v>#DIV/0!</v>
      </c>
    </row>
    <row r="103" spans="1:71">
      <c r="A103" s="8">
        <v>16</v>
      </c>
      <c r="B103" s="8"/>
      <c r="C103" s="8" t="s">
        <v>96</v>
      </c>
      <c r="D103" s="9" t="s">
        <v>66</v>
      </c>
      <c r="E103" s="3">
        <v>48.6</v>
      </c>
      <c r="F103" s="3">
        <v>226</v>
      </c>
      <c r="AF103" s="3" t="e">
        <f t="shared" si="13"/>
        <v>#DIV/0!</v>
      </c>
      <c r="AG103" s="3">
        <f t="shared" si="14"/>
        <v>0</v>
      </c>
      <c r="AH103" s="3">
        <f t="shared" si="15"/>
        <v>0</v>
      </c>
      <c r="BO103" s="3">
        <f t="shared" si="12"/>
        <v>0</v>
      </c>
      <c r="BQ103" s="46"/>
      <c r="BS103" s="5">
        <f t="shared" si="16"/>
        <v>0</v>
      </c>
    </row>
    <row r="104" spans="1:71">
      <c r="A104" s="10"/>
      <c r="B104" s="10"/>
      <c r="C104" s="10"/>
      <c r="D104" s="9" t="s">
        <v>67</v>
      </c>
      <c r="E104" s="3">
        <v>48.6</v>
      </c>
      <c r="F104" s="3">
        <v>226</v>
      </c>
      <c r="H104" s="3">
        <v>7.519</v>
      </c>
      <c r="I104" s="3">
        <v>197</v>
      </c>
      <c r="J104" s="3">
        <v>143</v>
      </c>
      <c r="K104" s="3">
        <v>4.34</v>
      </c>
      <c r="L104" s="3">
        <v>1.38</v>
      </c>
      <c r="M104" s="3">
        <v>108</v>
      </c>
      <c r="N104" s="3">
        <v>7.1</v>
      </c>
      <c r="O104" s="3">
        <v>2.27</v>
      </c>
      <c r="P104" s="3">
        <v>91</v>
      </c>
      <c r="Q104" s="3">
        <v>17</v>
      </c>
      <c r="R104" s="3">
        <v>99.5</v>
      </c>
      <c r="S104" s="3">
        <v>7.484</v>
      </c>
      <c r="T104" s="3">
        <v>60.4</v>
      </c>
      <c r="U104" s="3">
        <v>142</v>
      </c>
      <c r="V104" s="3">
        <v>4.32</v>
      </c>
      <c r="W104" s="3">
        <v>1.38</v>
      </c>
      <c r="X104" s="3">
        <v>108</v>
      </c>
      <c r="Y104" s="3">
        <v>7.2</v>
      </c>
      <c r="Z104" s="3">
        <v>2.32</v>
      </c>
      <c r="AA104" s="3">
        <v>91</v>
      </c>
      <c r="AB104" s="3">
        <v>17.9</v>
      </c>
      <c r="AC104" s="3">
        <v>93.4</v>
      </c>
      <c r="AD104" s="3">
        <v>50</v>
      </c>
      <c r="AE104" s="20"/>
      <c r="AF104" s="3" t="e">
        <f t="shared" si="13"/>
        <v>#DIV/0!</v>
      </c>
      <c r="AG104" s="3">
        <f t="shared" si="14"/>
        <v>0</v>
      </c>
      <c r="AH104" s="3">
        <f t="shared" si="15"/>
        <v>0.0499999999999998</v>
      </c>
      <c r="AI104" s="4">
        <v>40.79</v>
      </c>
      <c r="AJ104" s="4">
        <v>0.35</v>
      </c>
      <c r="AK104" s="4">
        <v>114.44</v>
      </c>
      <c r="AL104" s="4">
        <v>41.1</v>
      </c>
      <c r="AM104" s="4">
        <v>49.33</v>
      </c>
      <c r="AN104" s="4">
        <v>33.23</v>
      </c>
      <c r="AO104" s="3">
        <v>5</v>
      </c>
      <c r="AP104" s="3">
        <v>3</v>
      </c>
      <c r="AQ104" s="3">
        <v>131</v>
      </c>
      <c r="AR104" s="3">
        <v>140</v>
      </c>
      <c r="AS104" s="3">
        <v>218</v>
      </c>
      <c r="AT104" s="3">
        <v>113</v>
      </c>
      <c r="AU104" s="3">
        <v>3</v>
      </c>
      <c r="AV104" s="3">
        <v>45</v>
      </c>
      <c r="AW104" s="3">
        <v>118</v>
      </c>
      <c r="AX104" s="3">
        <v>2093</v>
      </c>
      <c r="AY104" s="3">
        <v>-1981</v>
      </c>
      <c r="AZ104" s="3">
        <v>46</v>
      </c>
      <c r="BA104" s="3">
        <v>25</v>
      </c>
      <c r="BB104" s="3">
        <v>54</v>
      </c>
      <c r="BC104" s="3">
        <v>43</v>
      </c>
      <c r="BD104" s="3">
        <v>19</v>
      </c>
      <c r="BE104" s="3">
        <v>2187</v>
      </c>
      <c r="BF104" s="3">
        <v>34</v>
      </c>
      <c r="BG104" s="3">
        <v>1117</v>
      </c>
      <c r="BH104" s="3">
        <v>14501</v>
      </c>
      <c r="BI104" s="3">
        <v>5</v>
      </c>
      <c r="BJ104" s="3">
        <v>0</v>
      </c>
      <c r="BK104" s="3">
        <v>0</v>
      </c>
      <c r="BL104" s="3">
        <v>0</v>
      </c>
      <c r="BM104" s="3">
        <v>1327</v>
      </c>
      <c r="BN104" s="3">
        <v>115</v>
      </c>
      <c r="BO104" s="3">
        <f t="shared" si="12"/>
        <v>0.8508589805125</v>
      </c>
      <c r="BQ104" s="47"/>
      <c r="BS104" s="5">
        <f t="shared" si="16"/>
        <v>0</v>
      </c>
    </row>
    <row r="105" spans="1:71">
      <c r="A105" s="10"/>
      <c r="B105" s="10"/>
      <c r="C105" s="10"/>
      <c r="D105" s="9" t="s">
        <v>68</v>
      </c>
      <c r="E105" s="3">
        <v>48.6</v>
      </c>
      <c r="F105" s="3">
        <v>226</v>
      </c>
      <c r="AF105" s="3" t="e">
        <f t="shared" si="13"/>
        <v>#DIV/0!</v>
      </c>
      <c r="AG105" s="3">
        <f t="shared" si="14"/>
        <v>0</v>
      </c>
      <c r="AH105" s="3">
        <f t="shared" si="15"/>
        <v>0</v>
      </c>
      <c r="BO105" s="3">
        <f t="shared" si="12"/>
        <v>0</v>
      </c>
      <c r="BQ105" s="47"/>
      <c r="BS105" s="5">
        <f t="shared" si="16"/>
        <v>0</v>
      </c>
    </row>
    <row r="106" spans="1:71">
      <c r="A106" s="10"/>
      <c r="B106" s="10"/>
      <c r="C106" s="10"/>
      <c r="D106" s="9" t="s">
        <v>69</v>
      </c>
      <c r="E106" s="3">
        <v>48.6</v>
      </c>
      <c r="F106" s="3">
        <v>226</v>
      </c>
      <c r="H106" s="3">
        <v>7.55</v>
      </c>
      <c r="I106" s="3">
        <v>267</v>
      </c>
      <c r="J106" s="3">
        <v>143.9</v>
      </c>
      <c r="K106" s="3">
        <v>5.39</v>
      </c>
      <c r="L106" s="3">
        <v>1.29</v>
      </c>
      <c r="M106" s="3">
        <v>108</v>
      </c>
      <c r="N106" s="3">
        <v>6.8</v>
      </c>
      <c r="O106" s="3">
        <v>2.81</v>
      </c>
      <c r="P106" s="3">
        <v>87</v>
      </c>
      <c r="Q106" s="3">
        <v>15.9</v>
      </c>
      <c r="R106" s="3">
        <v>99.7</v>
      </c>
      <c r="S106" s="3">
        <v>7.529</v>
      </c>
      <c r="T106" s="3">
        <v>91.5</v>
      </c>
      <c r="U106" s="3">
        <v>143.9</v>
      </c>
      <c r="V106" s="3">
        <v>5.37</v>
      </c>
      <c r="W106" s="3">
        <v>1.27</v>
      </c>
      <c r="X106" s="3">
        <v>109</v>
      </c>
      <c r="Y106" s="3">
        <v>6.7</v>
      </c>
      <c r="Z106" s="3">
        <v>2.81</v>
      </c>
      <c r="AA106" s="3">
        <v>86</v>
      </c>
      <c r="AB106" s="3">
        <v>15.7</v>
      </c>
      <c r="AC106" s="3">
        <v>97.9</v>
      </c>
      <c r="AD106" s="3">
        <v>51</v>
      </c>
      <c r="AE106" s="3">
        <v>0.73</v>
      </c>
      <c r="AF106" s="3">
        <f t="shared" si="13"/>
        <v>0.0309128379197479</v>
      </c>
      <c r="AG106" s="3">
        <f t="shared" si="14"/>
        <v>2.85888672566372</v>
      </c>
      <c r="AH106" s="3">
        <f t="shared" si="15"/>
        <v>0</v>
      </c>
      <c r="BO106" s="3">
        <f t="shared" si="12"/>
        <v>0</v>
      </c>
      <c r="BQ106" s="47"/>
      <c r="BS106" s="5">
        <f t="shared" si="16"/>
        <v>0</v>
      </c>
    </row>
    <row r="107" s="2" customFormat="1" spans="1:71">
      <c r="A107" s="10"/>
      <c r="B107" s="10"/>
      <c r="C107" s="10"/>
      <c r="D107" s="43" t="s">
        <v>70</v>
      </c>
      <c r="E107" s="3">
        <v>48.6</v>
      </c>
      <c r="F107" s="3">
        <v>226</v>
      </c>
      <c r="H107" s="2">
        <v>7.471</v>
      </c>
      <c r="I107" s="2">
        <v>165.9</v>
      </c>
      <c r="J107" s="2">
        <v>144</v>
      </c>
      <c r="K107" s="2">
        <v>5.54</v>
      </c>
      <c r="L107" s="2">
        <v>1.24</v>
      </c>
      <c r="M107" s="2">
        <v>108</v>
      </c>
      <c r="N107" s="2">
        <v>5</v>
      </c>
      <c r="O107" s="2">
        <v>3.58</v>
      </c>
      <c r="P107" s="2">
        <v>84</v>
      </c>
      <c r="Q107" s="2">
        <v>15.2</v>
      </c>
      <c r="R107" s="2">
        <v>99.3</v>
      </c>
      <c r="S107" s="2">
        <v>7.49</v>
      </c>
      <c r="T107" s="2">
        <v>87.6</v>
      </c>
      <c r="U107" s="2">
        <v>144.5</v>
      </c>
      <c r="V107" s="2">
        <v>5.52</v>
      </c>
      <c r="W107" s="2">
        <v>1.34</v>
      </c>
      <c r="X107" s="2">
        <v>108</v>
      </c>
      <c r="Y107" s="2">
        <v>5</v>
      </c>
      <c r="Z107" s="2">
        <v>3.72</v>
      </c>
      <c r="AA107" s="2">
        <v>85</v>
      </c>
      <c r="AB107" s="2">
        <v>15.4</v>
      </c>
      <c r="AC107" s="2">
        <v>97.4</v>
      </c>
      <c r="AD107" s="2">
        <v>50</v>
      </c>
      <c r="AE107" s="2">
        <v>0.82</v>
      </c>
      <c r="AF107" s="3">
        <f t="shared" si="13"/>
        <v>0.0269803582991582</v>
      </c>
      <c r="AG107" s="3">
        <f t="shared" si="14"/>
        <v>1.18311486725664</v>
      </c>
      <c r="AH107" s="3">
        <f t="shared" si="15"/>
        <v>0.14</v>
      </c>
      <c r="AI107" s="2">
        <v>10.94</v>
      </c>
      <c r="AJ107" s="2">
        <v>0.27</v>
      </c>
      <c r="AK107" s="2">
        <v>44.28</v>
      </c>
      <c r="AL107" s="2">
        <v>33.93</v>
      </c>
      <c r="AM107" s="2">
        <v>17.55</v>
      </c>
      <c r="AN107" s="2">
        <v>35.57</v>
      </c>
      <c r="AO107" s="2">
        <v>9</v>
      </c>
      <c r="AP107" s="2">
        <v>6</v>
      </c>
      <c r="AQ107" s="2">
        <v>169</v>
      </c>
      <c r="AR107" s="2">
        <v>156</v>
      </c>
      <c r="AS107" s="2">
        <v>215</v>
      </c>
      <c r="AT107" s="2">
        <v>148</v>
      </c>
      <c r="AU107" s="2">
        <v>8</v>
      </c>
      <c r="AV107" s="2">
        <v>47</v>
      </c>
      <c r="AW107" s="2">
        <v>116</v>
      </c>
      <c r="AX107" s="2">
        <v>2194</v>
      </c>
      <c r="AY107" s="2">
        <v>-2412</v>
      </c>
      <c r="AZ107" s="2">
        <v>41</v>
      </c>
      <c r="BA107" s="2">
        <v>31</v>
      </c>
      <c r="BB107" s="2">
        <v>62</v>
      </c>
      <c r="BC107" s="2">
        <v>53</v>
      </c>
      <c r="BD107" s="2">
        <v>17</v>
      </c>
      <c r="BE107" s="2">
        <v>1933</v>
      </c>
      <c r="BF107" s="2">
        <v>27</v>
      </c>
      <c r="BG107" s="2">
        <v>1577</v>
      </c>
      <c r="BH107" s="2">
        <v>23055</v>
      </c>
      <c r="BI107" s="2">
        <v>6</v>
      </c>
      <c r="BJ107" s="2">
        <v>0</v>
      </c>
      <c r="BK107" s="2">
        <v>0</v>
      </c>
      <c r="BL107" s="2">
        <v>0</v>
      </c>
      <c r="BM107" s="2">
        <v>1943</v>
      </c>
      <c r="BN107" s="2">
        <v>112</v>
      </c>
      <c r="BO107" s="3">
        <f t="shared" si="12"/>
        <v>0.752039510439261</v>
      </c>
      <c r="BQ107" s="47"/>
      <c r="BR107" s="5"/>
      <c r="BS107" s="5">
        <f t="shared" si="16"/>
        <v>0</v>
      </c>
    </row>
    <row r="108" spans="1:71">
      <c r="A108" s="15"/>
      <c r="B108" s="15"/>
      <c r="C108" s="15"/>
      <c r="D108" s="16" t="s">
        <v>72</v>
      </c>
      <c r="AF108" s="3" t="e">
        <f t="shared" si="13"/>
        <v>#DIV/0!</v>
      </c>
      <c r="AG108" s="3" t="e">
        <f t="shared" si="14"/>
        <v>#DIV/0!</v>
      </c>
      <c r="AH108" s="3">
        <f t="shared" si="15"/>
        <v>0</v>
      </c>
      <c r="BO108" s="3" t="e">
        <f t="shared" si="12"/>
        <v>#DIV/0!</v>
      </c>
      <c r="BQ108" s="48"/>
      <c r="BS108" s="5" t="e">
        <f t="shared" si="16"/>
        <v>#DIV/0!</v>
      </c>
    </row>
    <row r="109" spans="1:71">
      <c r="A109" s="8">
        <v>17</v>
      </c>
      <c r="B109" s="8"/>
      <c r="C109" s="44" t="s">
        <v>97</v>
      </c>
      <c r="D109" s="9" t="s">
        <v>66</v>
      </c>
      <c r="E109" s="3">
        <v>49.2</v>
      </c>
      <c r="F109" s="3">
        <v>246</v>
      </c>
      <c r="AF109" s="3" t="e">
        <f t="shared" si="13"/>
        <v>#DIV/0!</v>
      </c>
      <c r="AG109" s="3">
        <f t="shared" si="14"/>
        <v>0</v>
      </c>
      <c r="AH109" s="3">
        <f t="shared" si="15"/>
        <v>0</v>
      </c>
      <c r="BO109" s="3">
        <f t="shared" si="12"/>
        <v>0</v>
      </c>
      <c r="BS109" s="5">
        <f t="shared" si="16"/>
        <v>0</v>
      </c>
    </row>
    <row r="110" spans="1:71">
      <c r="A110" s="10"/>
      <c r="B110" s="10"/>
      <c r="C110" s="10"/>
      <c r="D110" s="9" t="s">
        <v>67</v>
      </c>
      <c r="E110" s="3">
        <v>49.2</v>
      </c>
      <c r="F110" s="3">
        <v>246</v>
      </c>
      <c r="AF110" s="3" t="e">
        <f t="shared" si="13"/>
        <v>#DIV/0!</v>
      </c>
      <c r="AG110" s="3">
        <f t="shared" si="14"/>
        <v>0</v>
      </c>
      <c r="AH110" s="3">
        <f t="shared" si="15"/>
        <v>0</v>
      </c>
      <c r="AI110" s="4">
        <v>9.45</v>
      </c>
      <c r="AJ110" s="4">
        <v>0.2</v>
      </c>
      <c r="AK110" s="4">
        <v>95.97</v>
      </c>
      <c r="AL110" s="4">
        <v>7.8</v>
      </c>
      <c r="AM110" s="4">
        <v>2.18</v>
      </c>
      <c r="AN110" s="4">
        <v>35.77</v>
      </c>
      <c r="AO110" s="3">
        <v>7</v>
      </c>
      <c r="AP110" s="3">
        <v>5</v>
      </c>
      <c r="AQ110" s="3">
        <v>113</v>
      </c>
      <c r="AR110" s="3">
        <v>197</v>
      </c>
      <c r="AS110" s="3">
        <v>200</v>
      </c>
      <c r="AT110" s="3">
        <v>100</v>
      </c>
      <c r="AU110" s="3">
        <v>6</v>
      </c>
      <c r="AV110" s="3">
        <v>50</v>
      </c>
      <c r="AW110" s="3">
        <v>130</v>
      </c>
      <c r="AX110" s="3">
        <v>1484</v>
      </c>
      <c r="AY110" s="3">
        <v>-2123</v>
      </c>
      <c r="AZ110" s="3">
        <v>37</v>
      </c>
      <c r="BA110" s="3">
        <v>78</v>
      </c>
      <c r="BB110" s="3">
        <v>68</v>
      </c>
      <c r="BC110" s="3">
        <v>58</v>
      </c>
      <c r="BD110" s="3">
        <v>21</v>
      </c>
      <c r="BE110" s="3">
        <v>2118</v>
      </c>
      <c r="BF110" s="3">
        <v>30</v>
      </c>
      <c r="BG110" s="3">
        <v>1199</v>
      </c>
      <c r="BH110" s="3">
        <v>16400</v>
      </c>
      <c r="BI110" s="3">
        <v>4</v>
      </c>
      <c r="BJ110" s="3">
        <v>0</v>
      </c>
      <c r="BK110" s="3">
        <v>0</v>
      </c>
      <c r="BL110" s="3">
        <v>0</v>
      </c>
      <c r="BM110" s="3">
        <v>1634</v>
      </c>
      <c r="BN110" s="3">
        <v>102</v>
      </c>
      <c r="BO110" s="3">
        <f t="shared" si="12"/>
        <v>0.77942882979625</v>
      </c>
      <c r="BS110" s="5">
        <f t="shared" si="16"/>
        <v>0</v>
      </c>
    </row>
    <row r="111" spans="1:71">
      <c r="A111" s="10"/>
      <c r="B111" s="10"/>
      <c r="C111" s="10"/>
      <c r="D111" s="9" t="s">
        <v>68</v>
      </c>
      <c r="E111" s="3">
        <v>49.2</v>
      </c>
      <c r="F111" s="3">
        <v>246</v>
      </c>
      <c r="H111" s="3">
        <v>7.48</v>
      </c>
      <c r="I111" s="3">
        <v>254.6</v>
      </c>
      <c r="J111" s="3">
        <v>137.8</v>
      </c>
      <c r="K111" s="3">
        <v>5.51</v>
      </c>
      <c r="L111" s="3">
        <v>1.26</v>
      </c>
      <c r="M111" s="3">
        <v>111</v>
      </c>
      <c r="N111" s="3">
        <v>4.3</v>
      </c>
      <c r="O111" s="3">
        <v>0.6</v>
      </c>
      <c r="P111" s="3">
        <v>75</v>
      </c>
      <c r="Q111" s="3">
        <v>17</v>
      </c>
      <c r="R111" s="3">
        <v>99.7</v>
      </c>
      <c r="S111" s="3">
        <v>7.46</v>
      </c>
      <c r="T111" s="3">
        <v>108.9</v>
      </c>
      <c r="U111" s="3">
        <v>137.8</v>
      </c>
      <c r="V111" s="3">
        <v>5.47</v>
      </c>
      <c r="W111" s="3">
        <v>1.26</v>
      </c>
      <c r="X111" s="3">
        <v>111</v>
      </c>
      <c r="Y111" s="3">
        <v>4.1</v>
      </c>
      <c r="Z111" s="3">
        <v>0.67</v>
      </c>
      <c r="AA111" s="3">
        <v>85</v>
      </c>
      <c r="AB111" s="3">
        <v>17.4</v>
      </c>
      <c r="AC111" s="3">
        <v>98.3</v>
      </c>
      <c r="AD111" s="3">
        <v>48</v>
      </c>
      <c r="AE111" s="3">
        <v>1.06</v>
      </c>
      <c r="AF111" s="3">
        <f t="shared" si="13"/>
        <v>0.0184077312471238</v>
      </c>
      <c r="AG111" s="3">
        <f t="shared" si="14"/>
        <v>-3.12333739837398</v>
      </c>
      <c r="AH111" s="3">
        <f t="shared" si="15"/>
        <v>0.0700000000000001</v>
      </c>
      <c r="BO111" s="3">
        <f t="shared" si="12"/>
        <v>0</v>
      </c>
      <c r="BS111" s="5">
        <f t="shared" si="16"/>
        <v>0</v>
      </c>
    </row>
    <row r="112" spans="1:71">
      <c r="A112" s="10"/>
      <c r="B112" s="10"/>
      <c r="C112" s="10"/>
      <c r="D112" s="9" t="s">
        <v>69</v>
      </c>
      <c r="E112" s="3">
        <v>49.2</v>
      </c>
      <c r="F112" s="3">
        <v>246</v>
      </c>
      <c r="H112" s="3">
        <v>7.498</v>
      </c>
      <c r="I112" s="3">
        <v>290.1</v>
      </c>
      <c r="J112" s="3">
        <v>137.4</v>
      </c>
      <c r="K112" s="3">
        <v>5.97</v>
      </c>
      <c r="L112" s="3">
        <v>7.19</v>
      </c>
      <c r="M112" s="3">
        <v>112</v>
      </c>
      <c r="N112" s="3">
        <v>9.3</v>
      </c>
      <c r="O112" s="3">
        <v>1.19</v>
      </c>
      <c r="P112" s="3">
        <v>86</v>
      </c>
      <c r="Q112" s="3">
        <v>17.8</v>
      </c>
      <c r="R112" s="3">
        <v>99.7</v>
      </c>
      <c r="S112" s="3">
        <v>7.469</v>
      </c>
      <c r="T112" s="3">
        <v>100.3</v>
      </c>
      <c r="U112" s="3">
        <v>136.3</v>
      </c>
      <c r="V112" s="3" t="s">
        <v>98</v>
      </c>
      <c r="W112" s="3">
        <v>1.24</v>
      </c>
      <c r="X112" s="3">
        <v>111</v>
      </c>
      <c r="Y112" s="3">
        <v>8.3</v>
      </c>
      <c r="Z112" s="3">
        <v>0.98</v>
      </c>
      <c r="AA112" s="3">
        <v>84</v>
      </c>
      <c r="AB112" s="3">
        <v>16.1</v>
      </c>
      <c r="AC112" s="3">
        <v>98</v>
      </c>
      <c r="AD112" s="3">
        <v>51</v>
      </c>
      <c r="AE112" s="3">
        <v>1.19</v>
      </c>
      <c r="AF112" s="3">
        <f t="shared" si="13"/>
        <v>0.0174216027874564</v>
      </c>
      <c r="AG112" s="3">
        <f t="shared" si="14"/>
        <v>5.06440780487805</v>
      </c>
      <c r="AH112" s="3">
        <f t="shared" si="15"/>
        <v>-0.21</v>
      </c>
      <c r="BO112" s="3">
        <f t="shared" si="12"/>
        <v>0</v>
      </c>
      <c r="BS112" s="5">
        <f t="shared" si="16"/>
        <v>0</v>
      </c>
    </row>
    <row r="113" s="2" customFormat="1" spans="1:71">
      <c r="A113" s="10"/>
      <c r="B113" s="10"/>
      <c r="C113" s="10"/>
      <c r="D113" s="43" t="s">
        <v>70</v>
      </c>
      <c r="E113" s="3">
        <v>49.2</v>
      </c>
      <c r="F113" s="3">
        <v>246</v>
      </c>
      <c r="G113" s="3"/>
      <c r="H113" s="2">
        <v>7.457</v>
      </c>
      <c r="I113" s="2">
        <v>306.2</v>
      </c>
      <c r="J113" s="2">
        <v>139.2</v>
      </c>
      <c r="K113" s="2">
        <v>6.33</v>
      </c>
      <c r="L113" s="2">
        <v>7.78</v>
      </c>
      <c r="M113" s="2">
        <v>108</v>
      </c>
      <c r="N113" s="2">
        <v>17.1</v>
      </c>
      <c r="O113" s="2">
        <v>1.48</v>
      </c>
      <c r="P113" s="2">
        <v>82</v>
      </c>
      <c r="Q113" s="2">
        <v>16.4</v>
      </c>
      <c r="R113" s="2">
        <v>99.7</v>
      </c>
      <c r="S113" s="2">
        <v>7.435</v>
      </c>
      <c r="T113" s="2">
        <v>99.8</v>
      </c>
      <c r="U113" s="2">
        <v>135.5</v>
      </c>
      <c r="V113" s="2">
        <v>6.24</v>
      </c>
      <c r="W113" s="2">
        <v>1.2</v>
      </c>
      <c r="X113" s="2">
        <v>108</v>
      </c>
      <c r="Y113" s="2">
        <v>15.8</v>
      </c>
      <c r="Z113" s="2">
        <v>1.31</v>
      </c>
      <c r="AA113" s="2">
        <v>82</v>
      </c>
      <c r="AB113" s="2">
        <v>15.5</v>
      </c>
      <c r="AC113" s="2">
        <v>97.9</v>
      </c>
      <c r="AD113" s="45">
        <v>60</v>
      </c>
      <c r="AE113" s="45">
        <v>1.23</v>
      </c>
      <c r="AF113" s="3">
        <f t="shared" si="13"/>
        <v>0.0198294665873488</v>
      </c>
      <c r="AG113" s="3">
        <f t="shared" si="14"/>
        <v>4.18812</v>
      </c>
      <c r="AH113" s="3">
        <f t="shared" si="15"/>
        <v>-0.17</v>
      </c>
      <c r="AI113" s="2">
        <v>4.8</v>
      </c>
      <c r="AJ113" s="2">
        <v>0.51</v>
      </c>
      <c r="AK113" s="2">
        <v>58.67</v>
      </c>
      <c r="AL113" s="2">
        <v>18.93</v>
      </c>
      <c r="AM113" s="2">
        <v>9.53</v>
      </c>
      <c r="AN113" s="2">
        <v>37.34</v>
      </c>
      <c r="AO113" s="2">
        <v>13</v>
      </c>
      <c r="AP113" s="2">
        <v>11</v>
      </c>
      <c r="AQ113" s="2">
        <v>76</v>
      </c>
      <c r="AR113" s="2">
        <v>231</v>
      </c>
      <c r="AS113" s="2">
        <v>226</v>
      </c>
      <c r="AT113" s="2">
        <v>77</v>
      </c>
      <c r="AU113" s="2">
        <v>11</v>
      </c>
      <c r="AV113" s="2">
        <v>46</v>
      </c>
      <c r="AW113" s="2">
        <v>114</v>
      </c>
      <c r="AX113" s="2">
        <v>1372</v>
      </c>
      <c r="AY113" s="2">
        <v>-811</v>
      </c>
      <c r="AZ113" s="2">
        <v>42</v>
      </c>
      <c r="BA113" s="2">
        <v>53</v>
      </c>
      <c r="BB113" s="2">
        <v>87</v>
      </c>
      <c r="BC113" s="2">
        <v>71</v>
      </c>
      <c r="BD113" s="2">
        <v>34</v>
      </c>
      <c r="BE113" s="2">
        <v>3353</v>
      </c>
      <c r="BF113" s="2">
        <v>38</v>
      </c>
      <c r="BG113" s="2">
        <v>1530</v>
      </c>
      <c r="BH113" s="2">
        <v>14634</v>
      </c>
      <c r="BI113" s="2">
        <v>2</v>
      </c>
      <c r="BJ113" s="2">
        <v>0</v>
      </c>
      <c r="BK113" s="2">
        <v>0</v>
      </c>
      <c r="BL113" s="2">
        <v>0</v>
      </c>
      <c r="BM113" s="2">
        <v>2192</v>
      </c>
      <c r="BN113" s="2">
        <v>97</v>
      </c>
      <c r="BO113" s="3">
        <f t="shared" si="12"/>
        <v>1.23391164603722</v>
      </c>
      <c r="BR113" s="5"/>
      <c r="BS113" s="5">
        <f t="shared" si="16"/>
        <v>0</v>
      </c>
    </row>
    <row r="114" spans="1:71">
      <c r="A114" s="15"/>
      <c r="B114" s="15"/>
      <c r="C114" s="15"/>
      <c r="D114" s="16" t="s">
        <v>72</v>
      </c>
      <c r="AF114" s="3" t="e">
        <f t="shared" si="13"/>
        <v>#DIV/0!</v>
      </c>
      <c r="AG114" s="3" t="e">
        <f t="shared" si="14"/>
        <v>#DIV/0!</v>
      </c>
      <c r="AH114" s="3">
        <f t="shared" si="15"/>
        <v>0</v>
      </c>
      <c r="BO114" s="3" t="e">
        <f t="shared" si="12"/>
        <v>#DIV/0!</v>
      </c>
      <c r="BS114" s="5" t="e">
        <f t="shared" si="16"/>
        <v>#DIV/0!</v>
      </c>
    </row>
    <row r="115" spans="1:71">
      <c r="A115" s="8">
        <v>18</v>
      </c>
      <c r="B115" s="8"/>
      <c r="C115" s="8" t="s">
        <v>99</v>
      </c>
      <c r="D115" s="9" t="s">
        <v>66</v>
      </c>
      <c r="E115" s="3">
        <v>52.9</v>
      </c>
      <c r="F115" s="3">
        <v>272</v>
      </c>
      <c r="AF115" s="3" t="e">
        <f t="shared" si="13"/>
        <v>#DIV/0!</v>
      </c>
      <c r="AG115" s="3">
        <f t="shared" si="14"/>
        <v>0</v>
      </c>
      <c r="AH115" s="3">
        <f t="shared" si="15"/>
        <v>0</v>
      </c>
      <c r="BO115" s="3">
        <f t="shared" si="12"/>
        <v>0</v>
      </c>
      <c r="BS115" s="5" t="e">
        <f>BR115/(0.0734*(POWER(#REF!,0.656)))</f>
        <v>#REF!</v>
      </c>
    </row>
    <row r="116" spans="1:71">
      <c r="A116" s="10"/>
      <c r="B116" s="10"/>
      <c r="C116" s="10"/>
      <c r="D116" s="9" t="s">
        <v>67</v>
      </c>
      <c r="E116" s="3">
        <v>52.9</v>
      </c>
      <c r="F116" s="3">
        <v>272</v>
      </c>
      <c r="H116" s="3">
        <v>7.454</v>
      </c>
      <c r="I116" s="3">
        <v>420</v>
      </c>
      <c r="J116" s="3">
        <v>139.8</v>
      </c>
      <c r="K116" s="3">
        <v>5.08</v>
      </c>
      <c r="L116" s="3">
        <v>1.11</v>
      </c>
      <c r="M116" s="3">
        <v>102</v>
      </c>
      <c r="N116" s="3">
        <v>5.1</v>
      </c>
      <c r="O116" s="3">
        <v>1.78</v>
      </c>
      <c r="P116" s="3">
        <v>88</v>
      </c>
      <c r="Q116" s="3">
        <v>24.9</v>
      </c>
      <c r="R116" s="3">
        <v>99.2</v>
      </c>
      <c r="S116" s="3">
        <v>7.444</v>
      </c>
      <c r="T116" s="3">
        <v>68.2</v>
      </c>
      <c r="U116" s="3">
        <v>139.9</v>
      </c>
      <c r="V116" s="3">
        <v>5.12</v>
      </c>
      <c r="W116" s="3">
        <v>1.12</v>
      </c>
      <c r="X116" s="3">
        <v>102</v>
      </c>
      <c r="Y116" s="3">
        <v>5.2</v>
      </c>
      <c r="Z116" s="3">
        <v>1.08</v>
      </c>
      <c r="AA116" s="3">
        <v>87</v>
      </c>
      <c r="AB116" s="3">
        <v>24.9</v>
      </c>
      <c r="AC116" s="3">
        <v>94.4</v>
      </c>
      <c r="AD116" s="3">
        <v>57</v>
      </c>
      <c r="AE116" s="3">
        <v>0.45</v>
      </c>
      <c r="AF116" s="3">
        <f t="shared" si="13"/>
        <v>0.0465686274509804</v>
      </c>
      <c r="AG116" s="3">
        <f t="shared" si="14"/>
        <v>2.94996838235294</v>
      </c>
      <c r="AH116" s="3">
        <f t="shared" si="15"/>
        <v>-0.7</v>
      </c>
      <c r="AI116" s="4">
        <v>11.7</v>
      </c>
      <c r="AJ116" s="4">
        <v>0.11</v>
      </c>
      <c r="AK116" s="4">
        <v>35.07</v>
      </c>
      <c r="AL116" s="4">
        <v>13.83</v>
      </c>
      <c r="AM116" s="4">
        <v>25.32</v>
      </c>
      <c r="AN116" s="4">
        <v>47.39</v>
      </c>
      <c r="AO116" s="3">
        <v>7</v>
      </c>
      <c r="AP116" s="3">
        <v>5</v>
      </c>
      <c r="AQ116" s="3">
        <v>114</v>
      </c>
      <c r="AR116" s="3">
        <v>202</v>
      </c>
      <c r="AS116" s="3">
        <v>220</v>
      </c>
      <c r="AT116" s="3">
        <v>96</v>
      </c>
      <c r="AU116" s="3">
        <v>6</v>
      </c>
      <c r="AV116" s="3">
        <v>49</v>
      </c>
      <c r="AW116" s="3">
        <v>141</v>
      </c>
      <c r="AX116" s="3">
        <v>1280</v>
      </c>
      <c r="AY116" s="3">
        <v>-1644</v>
      </c>
      <c r="AZ116" s="3">
        <v>41</v>
      </c>
      <c r="BA116" s="3">
        <v>38</v>
      </c>
      <c r="BB116" s="3">
        <v>78</v>
      </c>
      <c r="BC116" s="3">
        <v>66</v>
      </c>
      <c r="BD116" s="3">
        <v>22</v>
      </c>
      <c r="BE116" s="3">
        <v>2134</v>
      </c>
      <c r="BF116" s="3">
        <v>27</v>
      </c>
      <c r="BG116" s="3">
        <v>685</v>
      </c>
      <c r="BH116" s="3">
        <v>7319</v>
      </c>
      <c r="BI116" s="3">
        <v>1</v>
      </c>
      <c r="BJ116" s="3">
        <v>0</v>
      </c>
      <c r="BK116" s="3">
        <v>0</v>
      </c>
      <c r="BL116" s="3">
        <v>0</v>
      </c>
      <c r="BM116" s="3">
        <v>1128</v>
      </c>
      <c r="BN116" s="3">
        <v>99</v>
      </c>
      <c r="BO116" s="3">
        <f t="shared" si="12"/>
        <v>0.735226503475853</v>
      </c>
      <c r="BS116" s="5" t="e">
        <f>BR116/(0.0734*(POWER(#REF!,0.656)))</f>
        <v>#REF!</v>
      </c>
    </row>
    <row r="117" spans="1:71">
      <c r="A117" s="10"/>
      <c r="B117" s="10"/>
      <c r="C117" s="10"/>
      <c r="D117" s="9" t="s">
        <v>68</v>
      </c>
      <c r="E117" s="3">
        <v>52.9</v>
      </c>
      <c r="F117" s="3">
        <v>272</v>
      </c>
      <c r="AF117" s="3" t="e">
        <f t="shared" si="13"/>
        <v>#DIV/0!</v>
      </c>
      <c r="AG117" s="3">
        <f t="shared" si="14"/>
        <v>0</v>
      </c>
      <c r="AH117" s="3">
        <f t="shared" si="15"/>
        <v>0</v>
      </c>
      <c r="BO117" s="3">
        <f t="shared" si="12"/>
        <v>0</v>
      </c>
      <c r="BS117" s="5" t="e">
        <f>BR117/(0.0734*(POWER(#REF!,0.656)))</f>
        <v>#REF!</v>
      </c>
    </row>
    <row r="118" spans="1:71">
      <c r="A118" s="10"/>
      <c r="B118" s="10"/>
      <c r="C118" s="10"/>
      <c r="D118" s="9" t="s">
        <v>69</v>
      </c>
      <c r="E118" s="3">
        <v>52.9</v>
      </c>
      <c r="F118" s="3">
        <v>272</v>
      </c>
      <c r="H118" s="3">
        <v>7.668</v>
      </c>
      <c r="I118" s="3">
        <v>252.1</v>
      </c>
      <c r="J118" s="3">
        <v>142.1</v>
      </c>
      <c r="K118" s="3">
        <v>5.29</v>
      </c>
      <c r="L118" s="3">
        <v>1.04</v>
      </c>
      <c r="M118" s="3">
        <v>104</v>
      </c>
      <c r="N118" s="3">
        <v>4.9</v>
      </c>
      <c r="O118" s="3">
        <v>2.9</v>
      </c>
      <c r="P118" s="3">
        <v>84</v>
      </c>
      <c r="Q118" s="3">
        <v>21.4</v>
      </c>
      <c r="R118" s="3">
        <v>99.7</v>
      </c>
      <c r="S118" s="3">
        <v>7.648</v>
      </c>
      <c r="T118" s="3">
        <v>129.5</v>
      </c>
      <c r="U118" s="3">
        <v>142</v>
      </c>
      <c r="V118" s="3">
        <v>5.27</v>
      </c>
      <c r="W118" s="3">
        <v>1.04</v>
      </c>
      <c r="X118" s="3">
        <v>104</v>
      </c>
      <c r="Y118" s="3">
        <v>4.8</v>
      </c>
      <c r="Z118" s="3">
        <v>2.93</v>
      </c>
      <c r="AA118" s="3">
        <v>82</v>
      </c>
      <c r="AB118" s="3">
        <v>21.3</v>
      </c>
      <c r="AC118" s="3">
        <v>98.8</v>
      </c>
      <c r="AD118" s="3">
        <v>43</v>
      </c>
      <c r="AE118" s="3">
        <v>0.7</v>
      </c>
      <c r="AF118" s="3">
        <f t="shared" si="13"/>
        <v>0.0225840336134454</v>
      </c>
      <c r="AG118" s="3">
        <f t="shared" si="14"/>
        <v>1.92023382352941</v>
      </c>
      <c r="AH118" s="3">
        <f t="shared" si="15"/>
        <v>0.0300000000000002</v>
      </c>
      <c r="BO118" s="3">
        <f t="shared" si="12"/>
        <v>0</v>
      </c>
      <c r="BS118" s="5" t="e">
        <f>BR118/(0.0734*(POWER(#REF!,0.656)))</f>
        <v>#REF!</v>
      </c>
    </row>
    <row r="119" s="2" customFormat="1" spans="1:71">
      <c r="A119" s="10"/>
      <c r="B119" s="10"/>
      <c r="C119" s="10"/>
      <c r="D119" s="43" t="s">
        <v>70</v>
      </c>
      <c r="E119" s="3">
        <v>52.9</v>
      </c>
      <c r="F119" s="3">
        <v>272</v>
      </c>
      <c r="G119" s="2">
        <v>297</v>
      </c>
      <c r="H119" s="2">
        <v>7.593</v>
      </c>
      <c r="I119" s="2">
        <v>107.3</v>
      </c>
      <c r="J119" s="2">
        <v>143.4</v>
      </c>
      <c r="K119" s="2">
        <v>5.63</v>
      </c>
      <c r="L119" s="2">
        <v>1.04</v>
      </c>
      <c r="M119" s="2">
        <v>105</v>
      </c>
      <c r="N119" s="2">
        <v>4</v>
      </c>
      <c r="O119" s="2">
        <v>3.45</v>
      </c>
      <c r="P119" s="2">
        <v>85</v>
      </c>
      <c r="Q119" s="2">
        <v>20.5</v>
      </c>
      <c r="R119" s="2">
        <v>98.7</v>
      </c>
      <c r="S119" s="2">
        <v>7.577</v>
      </c>
      <c r="T119" s="2">
        <v>58.8</v>
      </c>
      <c r="U119" s="2">
        <v>143.3</v>
      </c>
      <c r="V119" s="2">
        <v>5.6</v>
      </c>
      <c r="W119" s="2">
        <v>1.02</v>
      </c>
      <c r="X119" s="2">
        <v>105</v>
      </c>
      <c r="Y119" s="2">
        <v>4.1</v>
      </c>
      <c r="Z119" s="2">
        <v>3.61</v>
      </c>
      <c r="AA119" s="2">
        <v>83</v>
      </c>
      <c r="AB119" s="2">
        <v>20.7</v>
      </c>
      <c r="AC119" s="2">
        <v>94.4</v>
      </c>
      <c r="AD119" s="45">
        <v>43</v>
      </c>
      <c r="AE119" s="45">
        <v>0.71</v>
      </c>
      <c r="AF119" s="3">
        <f t="shared" si="13"/>
        <v>0.0222659486329743</v>
      </c>
      <c r="AG119" s="3">
        <f t="shared" si="14"/>
        <v>2.33128499999999</v>
      </c>
      <c r="AH119" s="3">
        <f t="shared" si="15"/>
        <v>0.16</v>
      </c>
      <c r="AI119" s="2">
        <v>26.79</v>
      </c>
      <c r="AJ119" s="2">
        <v>3.37</v>
      </c>
      <c r="AK119" s="2">
        <v>0.39</v>
      </c>
      <c r="AL119" s="2">
        <v>54.03</v>
      </c>
      <c r="AM119" s="2">
        <v>54.84</v>
      </c>
      <c r="AN119" s="2">
        <v>13.41</v>
      </c>
      <c r="AO119" s="2">
        <v>15</v>
      </c>
      <c r="AP119" s="2">
        <v>16</v>
      </c>
      <c r="AQ119" s="2">
        <v>99</v>
      </c>
      <c r="AR119" s="2">
        <v>226</v>
      </c>
      <c r="AS119" s="2">
        <v>133</v>
      </c>
      <c r="AT119" s="2">
        <v>97</v>
      </c>
      <c r="AU119" s="2">
        <v>14</v>
      </c>
      <c r="AV119" s="2">
        <v>40</v>
      </c>
      <c r="AW119" s="2">
        <v>124</v>
      </c>
      <c r="AX119" s="2">
        <v>1314</v>
      </c>
      <c r="AY119" s="2">
        <v>-1014</v>
      </c>
      <c r="AZ119" s="2">
        <v>50</v>
      </c>
      <c r="BA119" s="2">
        <v>57</v>
      </c>
      <c r="BB119" s="2">
        <v>33</v>
      </c>
      <c r="BC119" s="2">
        <v>30</v>
      </c>
      <c r="BD119" s="2">
        <v>7</v>
      </c>
      <c r="BE119" s="2">
        <v>779</v>
      </c>
      <c r="BF119" s="2">
        <v>20</v>
      </c>
      <c r="BG119" s="2">
        <v>126</v>
      </c>
      <c r="BH119" s="2">
        <v>3671</v>
      </c>
      <c r="BI119" s="2">
        <v>3</v>
      </c>
      <c r="BJ119" s="2">
        <v>0</v>
      </c>
      <c r="BK119" s="2">
        <v>0</v>
      </c>
      <c r="BL119" s="2">
        <v>0</v>
      </c>
      <c r="BM119" s="2">
        <v>390</v>
      </c>
      <c r="BN119" s="2">
        <v>115</v>
      </c>
      <c r="BO119" s="3">
        <f t="shared" si="12"/>
        <v>0.268388681446902</v>
      </c>
      <c r="BR119" s="5"/>
      <c r="BS119" s="5" t="e">
        <f>BR119/(0.0734*(POWER(#REF!,0.656)))</f>
        <v>#REF!</v>
      </c>
    </row>
    <row r="120" spans="1:71">
      <c r="A120" s="15"/>
      <c r="B120" s="15"/>
      <c r="C120" s="15"/>
      <c r="D120" s="16" t="s">
        <v>72</v>
      </c>
      <c r="AF120" s="3" t="e">
        <f t="shared" si="13"/>
        <v>#DIV/0!</v>
      </c>
      <c r="AG120" s="3" t="e">
        <f t="shared" si="14"/>
        <v>#DIV/0!</v>
      </c>
      <c r="AH120" s="3">
        <f t="shared" si="15"/>
        <v>0</v>
      </c>
      <c r="AI120" s="35"/>
      <c r="BO120" s="3" t="e">
        <f t="shared" si="12"/>
        <v>#DIV/0!</v>
      </c>
      <c r="BS120" s="5" t="e">
        <f>BR120/(0.0734*(POWER(E120,0.656)))</f>
        <v>#DIV/0!</v>
      </c>
    </row>
    <row r="121" spans="1:71">
      <c r="A121" s="8">
        <v>19</v>
      </c>
      <c r="B121" s="8"/>
      <c r="C121" s="8" t="s">
        <v>100</v>
      </c>
      <c r="D121" s="9" t="s">
        <v>66</v>
      </c>
      <c r="E121" s="3">
        <v>49.7</v>
      </c>
      <c r="F121" s="3">
        <v>231</v>
      </c>
      <c r="AF121" s="3" t="e">
        <f t="shared" si="13"/>
        <v>#DIV/0!</v>
      </c>
      <c r="AG121" s="3">
        <f t="shared" si="14"/>
        <v>0</v>
      </c>
      <c r="AH121" s="3">
        <f t="shared" si="15"/>
        <v>0</v>
      </c>
      <c r="BO121" s="3">
        <f t="shared" si="12"/>
        <v>0</v>
      </c>
      <c r="BQ121" s="47"/>
      <c r="BS121" s="5" t="e">
        <f>BR121/(0.0734*(POWER(#REF!,0.656)))</f>
        <v>#REF!</v>
      </c>
    </row>
    <row r="122" spans="1:71">
      <c r="A122" s="10"/>
      <c r="B122" s="10"/>
      <c r="C122" s="10"/>
      <c r="D122" s="9" t="s">
        <v>67</v>
      </c>
      <c r="E122" s="3">
        <v>49.7</v>
      </c>
      <c r="F122" s="3">
        <v>231</v>
      </c>
      <c r="H122" s="3">
        <v>7.396</v>
      </c>
      <c r="I122" s="3">
        <v>270.8</v>
      </c>
      <c r="J122" s="3">
        <v>136</v>
      </c>
      <c r="K122" s="3">
        <v>5.36</v>
      </c>
      <c r="L122" s="3">
        <v>1.34</v>
      </c>
      <c r="M122" s="3">
        <v>105</v>
      </c>
      <c r="N122" s="3">
        <v>6.2</v>
      </c>
      <c r="O122" s="3">
        <v>1.94</v>
      </c>
      <c r="P122" s="3">
        <v>95</v>
      </c>
      <c r="Q122" s="3">
        <v>21.1</v>
      </c>
      <c r="R122" s="3">
        <v>99.6</v>
      </c>
      <c r="S122" s="3">
        <v>7.375</v>
      </c>
      <c r="T122" s="3">
        <v>69.5</v>
      </c>
      <c r="U122" s="3">
        <v>136.5</v>
      </c>
      <c r="V122" s="3">
        <v>5.36</v>
      </c>
      <c r="W122" s="3">
        <v>1.36</v>
      </c>
      <c r="X122" s="3">
        <v>105</v>
      </c>
      <c r="Y122" s="3">
        <v>6.1</v>
      </c>
      <c r="Z122" s="3">
        <v>1.92</v>
      </c>
      <c r="AA122" s="3">
        <v>95</v>
      </c>
      <c r="AB122" s="3">
        <v>22.5</v>
      </c>
      <c r="AC122" s="3">
        <v>93.6</v>
      </c>
      <c r="AD122" s="3">
        <v>30</v>
      </c>
      <c r="AE122" s="3">
        <v>0.47</v>
      </c>
      <c r="AF122" s="3">
        <f t="shared" si="13"/>
        <v>0.0276319425255596</v>
      </c>
      <c r="AG122" s="3">
        <f t="shared" si="14"/>
        <v>2.82372337662337</v>
      </c>
      <c r="AH122" s="3">
        <f t="shared" si="15"/>
        <v>-0.02</v>
      </c>
      <c r="AI122" s="4">
        <v>18.91</v>
      </c>
      <c r="AJ122" s="4">
        <v>0.51</v>
      </c>
      <c r="AK122" s="4">
        <v>43.66</v>
      </c>
      <c r="AL122" s="4">
        <v>32.25</v>
      </c>
      <c r="AM122" s="4">
        <v>29.7</v>
      </c>
      <c r="AN122" s="4">
        <v>12.4</v>
      </c>
      <c r="AO122" s="3">
        <v>8</v>
      </c>
      <c r="AP122" s="3">
        <v>5</v>
      </c>
      <c r="AQ122" s="3">
        <v>152</v>
      </c>
      <c r="AR122" s="3">
        <v>226</v>
      </c>
      <c r="AS122" s="3">
        <v>299</v>
      </c>
      <c r="AT122" s="3">
        <v>130</v>
      </c>
      <c r="AU122" s="3">
        <v>5</v>
      </c>
      <c r="AV122" s="3">
        <v>48</v>
      </c>
      <c r="AW122" s="3">
        <v>138</v>
      </c>
      <c r="AX122" s="3">
        <v>1726</v>
      </c>
      <c r="AY122" s="3">
        <v>-1649</v>
      </c>
      <c r="AZ122" s="3">
        <v>39</v>
      </c>
      <c r="BA122" s="3">
        <v>33</v>
      </c>
      <c r="BB122" s="3">
        <v>25</v>
      </c>
      <c r="BC122" s="3">
        <v>21</v>
      </c>
      <c r="BD122" s="3">
        <v>10</v>
      </c>
      <c r="BE122" s="3">
        <v>875</v>
      </c>
      <c r="BF122" s="3">
        <v>38</v>
      </c>
      <c r="BG122" s="3">
        <v>843</v>
      </c>
      <c r="BH122" s="3">
        <v>4256</v>
      </c>
      <c r="BI122" s="3">
        <v>7</v>
      </c>
      <c r="BJ122" s="3">
        <v>0</v>
      </c>
      <c r="BK122" s="3">
        <v>0</v>
      </c>
      <c r="BL122" s="3">
        <v>0</v>
      </c>
      <c r="BM122" s="3">
        <v>968</v>
      </c>
      <c r="BN122" s="3">
        <v>88</v>
      </c>
      <c r="BO122" s="3">
        <f t="shared" si="12"/>
        <v>0.335569541327513</v>
      </c>
      <c r="BQ122" s="47"/>
      <c r="BS122" s="5" t="e">
        <f>BR122/(0.0734*(POWER(#REF!,0.656)))</f>
        <v>#REF!</v>
      </c>
    </row>
    <row r="123" spans="1:71">
      <c r="A123" s="10"/>
      <c r="B123" s="10"/>
      <c r="C123" s="10"/>
      <c r="D123" s="9" t="s">
        <v>68</v>
      </c>
      <c r="E123" s="3">
        <v>49.7</v>
      </c>
      <c r="F123" s="3">
        <v>231</v>
      </c>
      <c r="H123" s="3">
        <v>7.154</v>
      </c>
      <c r="I123" s="3">
        <v>138.1</v>
      </c>
      <c r="J123" s="3">
        <v>139.3</v>
      </c>
      <c r="K123" s="3">
        <v>5.2</v>
      </c>
      <c r="L123" s="3">
        <v>1.32</v>
      </c>
      <c r="M123" s="3">
        <v>107</v>
      </c>
      <c r="N123" s="3">
        <v>3.3</v>
      </c>
      <c r="O123" s="3">
        <v>0.35</v>
      </c>
      <c r="P123" s="3">
        <v>99</v>
      </c>
      <c r="Q123" s="3">
        <v>26</v>
      </c>
      <c r="R123" s="3">
        <v>97.9</v>
      </c>
      <c r="S123" s="3">
        <v>7.139</v>
      </c>
      <c r="T123" s="3">
        <v>88</v>
      </c>
      <c r="U123" s="3">
        <v>139.8</v>
      </c>
      <c r="V123" s="3">
        <v>5.24</v>
      </c>
      <c r="W123" s="3">
        <v>1.32</v>
      </c>
      <c r="X123" s="3">
        <v>107</v>
      </c>
      <c r="Y123" s="3">
        <v>3.3</v>
      </c>
      <c r="Z123" s="3">
        <v>0.32</v>
      </c>
      <c r="AA123" s="3">
        <v>99</v>
      </c>
      <c r="AB123" s="3">
        <v>27.4</v>
      </c>
      <c r="AC123" s="3">
        <v>93.2</v>
      </c>
      <c r="AD123" s="3">
        <v>45</v>
      </c>
      <c r="AE123" s="3">
        <v>0.74</v>
      </c>
      <c r="AF123" s="3">
        <f t="shared" si="13"/>
        <v>0.0263250263250263</v>
      </c>
      <c r="AG123" s="3">
        <f t="shared" si="14"/>
        <v>2.49489558441559</v>
      </c>
      <c r="AH123" s="3">
        <f t="shared" si="15"/>
        <v>-0.03</v>
      </c>
      <c r="BO123" s="3">
        <f t="shared" si="12"/>
        <v>0</v>
      </c>
      <c r="BQ123" s="47"/>
      <c r="BS123" s="5" t="e">
        <f>BR123/(0.0734*(POWER(#REF!,0.656)))</f>
        <v>#REF!</v>
      </c>
    </row>
    <row r="124" spans="1:71">
      <c r="A124" s="10"/>
      <c r="B124" s="10"/>
      <c r="C124" s="10"/>
      <c r="D124" s="9" t="s">
        <v>69</v>
      </c>
      <c r="E124" s="3">
        <v>49.7</v>
      </c>
      <c r="F124" s="3">
        <v>231</v>
      </c>
      <c r="H124" s="3">
        <v>7.282</v>
      </c>
      <c r="I124" s="3">
        <v>259.7</v>
      </c>
      <c r="J124" s="3">
        <v>133.3</v>
      </c>
      <c r="K124" s="3">
        <v>5.4</v>
      </c>
      <c r="L124" s="3">
        <v>1.21</v>
      </c>
      <c r="M124" s="3">
        <v>104</v>
      </c>
      <c r="N124" s="3">
        <v>72.7</v>
      </c>
      <c r="O124" s="3">
        <v>0.63</v>
      </c>
      <c r="P124" s="3">
        <v>98</v>
      </c>
      <c r="Q124" s="3">
        <v>24.5</v>
      </c>
      <c r="R124" s="3">
        <v>99.5</v>
      </c>
      <c r="S124" s="3">
        <v>7.754</v>
      </c>
      <c r="T124" s="3">
        <v>120.8</v>
      </c>
      <c r="U124" s="3">
        <v>133.7</v>
      </c>
      <c r="V124" s="3">
        <v>5.38</v>
      </c>
      <c r="W124" s="3">
        <v>1.79</v>
      </c>
      <c r="X124" s="3">
        <v>104</v>
      </c>
      <c r="Y124" s="3">
        <v>11.3</v>
      </c>
      <c r="Z124" s="3">
        <v>0.65</v>
      </c>
      <c r="AA124" s="3">
        <v>99</v>
      </c>
      <c r="AB124" s="3">
        <v>24</v>
      </c>
      <c r="AC124" s="3">
        <v>97.8</v>
      </c>
      <c r="AD124" s="3">
        <v>48</v>
      </c>
      <c r="AE124" s="3">
        <v>0.84</v>
      </c>
      <c r="AF124" s="3">
        <f t="shared" si="13"/>
        <v>0.0247371675943105</v>
      </c>
      <c r="AG124" s="3">
        <f t="shared" si="14"/>
        <v>1.90102545454547</v>
      </c>
      <c r="AH124" s="3">
        <f t="shared" si="15"/>
        <v>0.02</v>
      </c>
      <c r="BO124" s="3">
        <f t="shared" si="12"/>
        <v>0</v>
      </c>
      <c r="BQ124" s="47"/>
      <c r="BS124" s="5" t="e">
        <f>BR124/(0.0734*(POWER(#REF!,0.656)))</f>
        <v>#REF!</v>
      </c>
    </row>
    <row r="125" s="2" customFormat="1" spans="1:71">
      <c r="A125" s="10"/>
      <c r="B125" s="10"/>
      <c r="C125" s="10"/>
      <c r="D125" s="43" t="s">
        <v>70</v>
      </c>
      <c r="E125" s="3">
        <v>49.7</v>
      </c>
      <c r="F125" s="3">
        <v>231</v>
      </c>
      <c r="G125" s="2">
        <v>281</v>
      </c>
      <c r="H125" s="2">
        <v>7.262</v>
      </c>
      <c r="I125" s="2">
        <v>282.8</v>
      </c>
      <c r="J125" s="2">
        <v>132</v>
      </c>
      <c r="K125" s="2">
        <v>5.56</v>
      </c>
      <c r="L125" s="2">
        <v>1.27</v>
      </c>
      <c r="M125" s="2">
        <v>104</v>
      </c>
      <c r="N125" s="2">
        <v>14.1</v>
      </c>
      <c r="O125" s="2">
        <v>0.78</v>
      </c>
      <c r="P125" s="2">
        <v>98</v>
      </c>
      <c r="Q125" s="2">
        <v>23.9</v>
      </c>
      <c r="R125" s="2">
        <v>99.6</v>
      </c>
      <c r="S125" s="2">
        <v>7.263</v>
      </c>
      <c r="T125" s="2">
        <v>116.7</v>
      </c>
      <c r="U125" s="2">
        <v>131.8</v>
      </c>
      <c r="V125" s="2">
        <v>5.51</v>
      </c>
      <c r="W125" s="2">
        <v>1.27</v>
      </c>
      <c r="X125" s="2">
        <v>104</v>
      </c>
      <c r="Y125" s="2">
        <v>13.6</v>
      </c>
      <c r="Z125" s="2">
        <v>0.79</v>
      </c>
      <c r="AA125" s="2">
        <v>98</v>
      </c>
      <c r="AB125" s="2">
        <v>23</v>
      </c>
      <c r="AC125" s="2">
        <v>97.6</v>
      </c>
      <c r="AD125" s="2">
        <v>48</v>
      </c>
      <c r="AE125" s="2">
        <v>0.84</v>
      </c>
      <c r="AF125" s="3">
        <f t="shared" si="13"/>
        <v>0.0247371675943105</v>
      </c>
      <c r="AG125" s="3">
        <f t="shared" si="14"/>
        <v>2.82745454545454</v>
      </c>
      <c r="AH125" s="3">
        <f t="shared" si="15"/>
        <v>0.01</v>
      </c>
      <c r="AI125" s="2">
        <v>45.64</v>
      </c>
      <c r="AJ125" s="2">
        <v>2.61</v>
      </c>
      <c r="AK125" s="2">
        <v>179.37</v>
      </c>
      <c r="AL125" s="2">
        <v>259.91</v>
      </c>
      <c r="AM125" s="2">
        <v>56.71</v>
      </c>
      <c r="AN125" s="2">
        <v>15.08</v>
      </c>
      <c r="AO125" s="2">
        <v>15</v>
      </c>
      <c r="AP125" s="2">
        <v>109</v>
      </c>
      <c r="AQ125" s="2">
        <v>119</v>
      </c>
      <c r="AR125" s="2">
        <v>171</v>
      </c>
      <c r="AS125" s="2">
        <v>228</v>
      </c>
      <c r="AT125" s="2">
        <v>116</v>
      </c>
      <c r="AU125" s="2">
        <v>12</v>
      </c>
      <c r="AV125" s="2">
        <v>74</v>
      </c>
      <c r="AW125" s="2">
        <v>128</v>
      </c>
      <c r="AX125" s="2">
        <v>1194</v>
      </c>
      <c r="AY125" s="2">
        <v>-1645</v>
      </c>
      <c r="AZ125" s="2">
        <v>19</v>
      </c>
      <c r="BA125" s="2">
        <v>43</v>
      </c>
      <c r="BB125" s="2">
        <v>23</v>
      </c>
      <c r="BC125" s="2">
        <v>18</v>
      </c>
      <c r="BD125" s="2">
        <v>6</v>
      </c>
      <c r="BE125" s="2">
        <v>583</v>
      </c>
      <c r="BF125" s="2">
        <v>26</v>
      </c>
      <c r="BG125" s="2">
        <v>511</v>
      </c>
      <c r="BH125" s="2">
        <v>3864</v>
      </c>
      <c r="BI125" s="2">
        <v>8</v>
      </c>
      <c r="BJ125" s="2">
        <v>0</v>
      </c>
      <c r="BK125" s="2">
        <v>0</v>
      </c>
      <c r="BL125" s="2">
        <v>0</v>
      </c>
      <c r="BM125" s="2">
        <v>584</v>
      </c>
      <c r="BN125" s="2">
        <v>100</v>
      </c>
      <c r="BO125" s="3">
        <f t="shared" si="12"/>
        <v>0.223585191535932</v>
      </c>
      <c r="BQ125" s="47"/>
      <c r="BR125" s="5"/>
      <c r="BS125" s="5" t="e">
        <f>BR125/(0.0734*(POWER(#REF!,0.656)))</f>
        <v>#REF!</v>
      </c>
    </row>
    <row r="126" spans="1:71">
      <c r="A126" s="15"/>
      <c r="B126" s="15"/>
      <c r="C126" s="15"/>
      <c r="D126" s="16" t="s">
        <v>72</v>
      </c>
      <c r="AF126" s="3" t="e">
        <f t="shared" si="13"/>
        <v>#DIV/0!</v>
      </c>
      <c r="AG126" s="3" t="e">
        <f t="shared" si="14"/>
        <v>#DIV/0!</v>
      </c>
      <c r="AH126" s="3">
        <f t="shared" si="15"/>
        <v>0</v>
      </c>
      <c r="BO126" s="3" t="e">
        <f t="shared" si="12"/>
        <v>#DIV/0!</v>
      </c>
      <c r="BQ126" s="48"/>
      <c r="BS126" s="5" t="e">
        <f>BR126/(0.0734*(POWER(E126,0.656)))</f>
        <v>#DIV/0!</v>
      </c>
    </row>
    <row r="127" spans="1:67">
      <c r="A127" s="8">
        <v>20</v>
      </c>
      <c r="B127" s="8" t="s">
        <v>101</v>
      </c>
      <c r="C127" s="8" t="s">
        <v>102</v>
      </c>
      <c r="D127" s="9" t="s">
        <v>66</v>
      </c>
      <c r="E127" s="3">
        <v>47.9</v>
      </c>
      <c r="F127" s="3">
        <v>238</v>
      </c>
      <c r="AF127" s="3" t="e">
        <f t="shared" si="13"/>
        <v>#DIV/0!</v>
      </c>
      <c r="AG127" s="3">
        <f t="shared" si="14"/>
        <v>0</v>
      </c>
      <c r="AH127" s="3">
        <f t="shared" si="15"/>
        <v>0</v>
      </c>
      <c r="BO127" s="3">
        <f t="shared" si="12"/>
        <v>0</v>
      </c>
    </row>
    <row r="128" spans="1:67">
      <c r="A128" s="10"/>
      <c r="B128" s="10"/>
      <c r="C128" s="10"/>
      <c r="D128" s="9" t="s">
        <v>67</v>
      </c>
      <c r="E128" s="3">
        <v>47.9</v>
      </c>
      <c r="F128" s="3">
        <v>238</v>
      </c>
      <c r="AF128" s="3" t="e">
        <f t="shared" si="13"/>
        <v>#DIV/0!</v>
      </c>
      <c r="AG128" s="3">
        <f t="shared" si="14"/>
        <v>0</v>
      </c>
      <c r="AH128" s="3">
        <f t="shared" si="15"/>
        <v>0</v>
      </c>
      <c r="AI128" s="37">
        <v>3.19</v>
      </c>
      <c r="AJ128" s="37">
        <v>0.21</v>
      </c>
      <c r="AK128" s="37">
        <v>68.23</v>
      </c>
      <c r="AL128" s="37">
        <v>6.55</v>
      </c>
      <c r="AM128" s="37">
        <v>5.22</v>
      </c>
      <c r="AN128" s="37">
        <v>201.05</v>
      </c>
      <c r="AO128" s="37">
        <v>10</v>
      </c>
      <c r="AP128" s="37">
        <v>64</v>
      </c>
      <c r="AQ128" s="37">
        <v>84</v>
      </c>
      <c r="AR128" s="37">
        <v>291</v>
      </c>
      <c r="AS128" s="37">
        <v>286</v>
      </c>
      <c r="AT128" s="37">
        <v>78</v>
      </c>
      <c r="AU128" s="37">
        <v>8</v>
      </c>
      <c r="AV128" s="37">
        <v>56</v>
      </c>
      <c r="AW128" s="37">
        <v>122</v>
      </c>
      <c r="AX128" s="37">
        <v>782</v>
      </c>
      <c r="AY128" s="37">
        <v>-745</v>
      </c>
      <c r="AZ128" s="37">
        <v>32</v>
      </c>
      <c r="BA128" s="37">
        <v>53</v>
      </c>
      <c r="BB128" s="37">
        <v>281</v>
      </c>
      <c r="BC128" s="37">
        <v>215</v>
      </c>
      <c r="BD128" s="37">
        <v>71</v>
      </c>
      <c r="BE128" s="37">
        <v>5675</v>
      </c>
      <c r="BF128" s="37">
        <v>25</v>
      </c>
      <c r="BG128" s="37">
        <v>2010</v>
      </c>
      <c r="BH128" s="37">
        <v>11632</v>
      </c>
      <c r="BI128" s="37">
        <v>0</v>
      </c>
      <c r="BJ128" s="37">
        <v>0</v>
      </c>
      <c r="BK128" s="37">
        <v>0</v>
      </c>
      <c r="BL128" s="37">
        <v>0</v>
      </c>
      <c r="BM128" s="37">
        <v>2992</v>
      </c>
      <c r="BN128" s="37">
        <v>80</v>
      </c>
      <c r="BO128" s="3">
        <f t="shared" si="12"/>
        <v>2.13420101502644</v>
      </c>
    </row>
    <row r="129" spans="1:67">
      <c r="A129" s="10"/>
      <c r="B129" s="10"/>
      <c r="C129" s="10"/>
      <c r="D129" s="9" t="s">
        <v>68</v>
      </c>
      <c r="E129" s="3">
        <v>47.9</v>
      </c>
      <c r="F129" s="3">
        <v>238</v>
      </c>
      <c r="AF129" s="3" t="e">
        <f t="shared" si="13"/>
        <v>#DIV/0!</v>
      </c>
      <c r="AG129" s="3">
        <f t="shared" si="14"/>
        <v>0</v>
      </c>
      <c r="AH129" s="3">
        <f t="shared" si="15"/>
        <v>0</v>
      </c>
      <c r="BO129" s="3">
        <f t="shared" si="12"/>
        <v>0</v>
      </c>
    </row>
    <row r="130" spans="1:67">
      <c r="A130" s="10"/>
      <c r="B130" s="10"/>
      <c r="C130" s="10"/>
      <c r="D130" s="9" t="s">
        <v>69</v>
      </c>
      <c r="E130" s="3">
        <v>47.9</v>
      </c>
      <c r="F130" s="3">
        <v>238</v>
      </c>
      <c r="AF130" s="3" t="e">
        <f t="shared" si="13"/>
        <v>#DIV/0!</v>
      </c>
      <c r="AG130" s="3">
        <f t="shared" si="14"/>
        <v>0</v>
      </c>
      <c r="AH130" s="3">
        <f t="shared" si="15"/>
        <v>0</v>
      </c>
      <c r="BO130" s="3">
        <f t="shared" si="12"/>
        <v>0</v>
      </c>
    </row>
    <row r="131" spans="1:67">
      <c r="A131" s="10"/>
      <c r="B131" s="10"/>
      <c r="C131" s="10"/>
      <c r="D131" s="43" t="s">
        <v>74</v>
      </c>
      <c r="E131" s="3">
        <v>47.9</v>
      </c>
      <c r="F131" s="3">
        <v>238</v>
      </c>
      <c r="G131" s="3">
        <v>339</v>
      </c>
      <c r="AF131" s="3" t="e">
        <f t="shared" si="13"/>
        <v>#DIV/0!</v>
      </c>
      <c r="AG131" s="3">
        <f t="shared" si="14"/>
        <v>0</v>
      </c>
      <c r="AH131" s="3">
        <f t="shared" si="15"/>
        <v>0</v>
      </c>
      <c r="AI131" s="37">
        <v>0.41</v>
      </c>
      <c r="AJ131" s="37">
        <v>-0.04</v>
      </c>
      <c r="AK131" s="37">
        <v>48.19</v>
      </c>
      <c r="AL131" s="37">
        <v>-3.27</v>
      </c>
      <c r="AM131" s="37">
        <v>0.1</v>
      </c>
      <c r="AN131" s="37">
        <v>-23.27</v>
      </c>
      <c r="AO131" s="37">
        <v>16</v>
      </c>
      <c r="AP131" s="37">
        <v>114</v>
      </c>
      <c r="AQ131" s="37">
        <v>113</v>
      </c>
      <c r="AR131" s="37">
        <v>249</v>
      </c>
      <c r="AS131" s="37">
        <v>275</v>
      </c>
      <c r="AT131" s="37">
        <v>106</v>
      </c>
      <c r="AU131" s="37">
        <v>15</v>
      </c>
      <c r="AV131" s="37">
        <v>63</v>
      </c>
      <c r="AW131" s="37">
        <v>152</v>
      </c>
      <c r="AX131" s="37">
        <v>810</v>
      </c>
      <c r="AY131" s="37">
        <v>-996</v>
      </c>
      <c r="AZ131" s="37">
        <v>22</v>
      </c>
      <c r="BA131" s="37">
        <v>66</v>
      </c>
      <c r="BB131" s="37">
        <v>262</v>
      </c>
      <c r="BC131" s="37">
        <v>246</v>
      </c>
      <c r="BD131" s="37">
        <v>22</v>
      </c>
      <c r="BE131" s="37">
        <v>1761</v>
      </c>
      <c r="BF131" s="37">
        <v>8</v>
      </c>
      <c r="BG131" s="37">
        <v>832</v>
      </c>
      <c r="BH131" s="37">
        <v>7993</v>
      </c>
      <c r="BI131" s="37">
        <v>0</v>
      </c>
      <c r="BJ131" s="37">
        <v>0</v>
      </c>
      <c r="BK131" s="37">
        <v>0</v>
      </c>
      <c r="BL131" s="37">
        <v>0</v>
      </c>
      <c r="BM131" s="37">
        <v>1316</v>
      </c>
      <c r="BN131" s="37">
        <v>81</v>
      </c>
      <c r="BO131" s="3">
        <f t="shared" ref="BO131:BO194" si="17">BE131/(0.0734*(POWER(F131,0.656)))/1000</f>
        <v>0.662260438319218</v>
      </c>
    </row>
    <row r="132" spans="1:67">
      <c r="A132" s="15"/>
      <c r="B132" s="15"/>
      <c r="C132" s="15"/>
      <c r="D132" s="16" t="s">
        <v>72</v>
      </c>
      <c r="AF132" s="3" t="e">
        <f t="shared" ref="AF132:AF195" si="18">AD132/AE132/1000/F132*100</f>
        <v>#DIV/0!</v>
      </c>
      <c r="AG132" s="3" t="e">
        <f t="shared" ref="AG132:AG195" si="19">AE132*1000*((1.34*P132/10*R132/100+0.0031*I132)-(1.34*AA132/10*AC132/100+0.0031*T132))/(F132/100)/100</f>
        <v>#DIV/0!</v>
      </c>
      <c r="AH132" s="3">
        <f t="shared" ref="AH132:AH195" si="20">Z132-O132</f>
        <v>0</v>
      </c>
      <c r="BO132" s="3" t="e">
        <f t="shared" si="17"/>
        <v>#DIV/0!</v>
      </c>
    </row>
    <row r="133" spans="1:67">
      <c r="A133" s="8">
        <v>21</v>
      </c>
      <c r="B133" s="8"/>
      <c r="C133" s="8" t="s">
        <v>103</v>
      </c>
      <c r="D133" s="9" t="s">
        <v>66</v>
      </c>
      <c r="AF133" s="3" t="e">
        <f t="shared" si="18"/>
        <v>#DIV/0!</v>
      </c>
      <c r="AG133" s="3" t="e">
        <f t="shared" si="19"/>
        <v>#DIV/0!</v>
      </c>
      <c r="AH133" s="3">
        <f t="shared" si="20"/>
        <v>0</v>
      </c>
      <c r="BO133" s="3" t="e">
        <f t="shared" si="17"/>
        <v>#DIV/0!</v>
      </c>
    </row>
    <row r="134" spans="1:67">
      <c r="A134" s="10"/>
      <c r="B134" s="10"/>
      <c r="C134" s="10"/>
      <c r="D134" s="9" t="s">
        <v>67</v>
      </c>
      <c r="AF134" s="3" t="e">
        <f t="shared" si="18"/>
        <v>#DIV/0!</v>
      </c>
      <c r="AG134" s="3" t="e">
        <f t="shared" si="19"/>
        <v>#DIV/0!</v>
      </c>
      <c r="AH134" s="3">
        <f t="shared" si="20"/>
        <v>0</v>
      </c>
      <c r="AI134" s="4">
        <v>3.32</v>
      </c>
      <c r="AJ134" s="4">
        <v>0.29</v>
      </c>
      <c r="AK134" s="4">
        <v>31.41</v>
      </c>
      <c r="AL134" s="4">
        <v>15.24</v>
      </c>
      <c r="AM134" s="4">
        <v>8.77</v>
      </c>
      <c r="AN134" s="4">
        <v>115.45</v>
      </c>
      <c r="AO134" s="3">
        <v>9</v>
      </c>
      <c r="AP134" s="3">
        <v>8</v>
      </c>
      <c r="AQ134" s="3">
        <v>67</v>
      </c>
      <c r="AR134" s="3">
        <v>224</v>
      </c>
      <c r="AS134" s="3">
        <v>107</v>
      </c>
      <c r="AT134" s="3">
        <v>61</v>
      </c>
      <c r="AU134" s="3">
        <v>8</v>
      </c>
      <c r="AV134" s="3">
        <v>46</v>
      </c>
      <c r="AW134" s="3">
        <v>137</v>
      </c>
      <c r="AX134" s="3">
        <v>642</v>
      </c>
      <c r="AY134" s="3">
        <v>-621</v>
      </c>
      <c r="AZ134" s="3">
        <v>34</v>
      </c>
      <c r="BA134" s="3">
        <v>57</v>
      </c>
      <c r="BB134" s="3">
        <v>149</v>
      </c>
      <c r="BC134" s="3">
        <v>146</v>
      </c>
      <c r="BD134" s="3">
        <v>11</v>
      </c>
      <c r="BE134" s="3">
        <v>1268</v>
      </c>
      <c r="BF134" s="3">
        <v>7</v>
      </c>
      <c r="BG134" s="3">
        <v>418</v>
      </c>
      <c r="BH134" s="3">
        <v>3279</v>
      </c>
      <c r="BI134" s="3">
        <v>0</v>
      </c>
      <c r="BJ134" s="3">
        <v>0</v>
      </c>
      <c r="BK134" s="3">
        <v>0</v>
      </c>
      <c r="BL134" s="3">
        <v>0</v>
      </c>
      <c r="BM134" s="3">
        <v>583</v>
      </c>
      <c r="BN134" s="3">
        <v>114</v>
      </c>
      <c r="BO134" s="3" t="e">
        <f t="shared" si="17"/>
        <v>#DIV/0!</v>
      </c>
    </row>
    <row r="135" spans="1:67">
      <c r="A135" s="10"/>
      <c r="B135" s="10"/>
      <c r="C135" s="10"/>
      <c r="D135" s="9" t="s">
        <v>68</v>
      </c>
      <c r="AF135" s="3" t="e">
        <f t="shared" si="18"/>
        <v>#DIV/0!</v>
      </c>
      <c r="AG135" s="3" t="e">
        <f t="shared" si="19"/>
        <v>#DIV/0!</v>
      </c>
      <c r="AH135" s="3">
        <f t="shared" si="20"/>
        <v>0</v>
      </c>
      <c r="BO135" s="3" t="e">
        <f t="shared" si="17"/>
        <v>#DIV/0!</v>
      </c>
    </row>
    <row r="136" spans="1:67">
      <c r="A136" s="10"/>
      <c r="B136" s="10"/>
      <c r="C136" s="10"/>
      <c r="D136" s="9" t="s">
        <v>69</v>
      </c>
      <c r="AF136" s="3" t="e">
        <f t="shared" si="18"/>
        <v>#DIV/0!</v>
      </c>
      <c r="AG136" s="3" t="e">
        <f t="shared" si="19"/>
        <v>#DIV/0!</v>
      </c>
      <c r="AH136" s="3">
        <f t="shared" si="20"/>
        <v>0</v>
      </c>
      <c r="BO136" s="3" t="e">
        <f t="shared" si="17"/>
        <v>#DIV/0!</v>
      </c>
    </row>
    <row r="137" spans="1:67">
      <c r="A137" s="10"/>
      <c r="B137" s="10"/>
      <c r="C137" s="10"/>
      <c r="D137" s="43" t="s">
        <v>74</v>
      </c>
      <c r="AF137" s="3" t="e">
        <f t="shared" si="18"/>
        <v>#DIV/0!</v>
      </c>
      <c r="AG137" s="3" t="e">
        <f t="shared" si="19"/>
        <v>#DIV/0!</v>
      </c>
      <c r="AH137" s="3">
        <f t="shared" si="20"/>
        <v>0</v>
      </c>
      <c r="AI137" s="4">
        <v>5.02</v>
      </c>
      <c r="AJ137" s="4">
        <v>1.02</v>
      </c>
      <c r="AK137" s="4">
        <v>37.09</v>
      </c>
      <c r="AL137" s="4">
        <v>34.69</v>
      </c>
      <c r="AM137" s="4">
        <v>7.92</v>
      </c>
      <c r="AN137" s="4">
        <v>64.86</v>
      </c>
      <c r="AO137" s="3">
        <v>21</v>
      </c>
      <c r="AP137" s="3">
        <v>12</v>
      </c>
      <c r="AQ137" s="3">
        <v>119</v>
      </c>
      <c r="AR137" s="3">
        <v>261</v>
      </c>
      <c r="AS137" s="3">
        <v>285</v>
      </c>
      <c r="AT137" s="3">
        <v>114</v>
      </c>
      <c r="AU137" s="3">
        <v>19</v>
      </c>
      <c r="AV137" s="3">
        <v>41</v>
      </c>
      <c r="AW137" s="3">
        <v>116</v>
      </c>
      <c r="AX137" s="3">
        <v>1233</v>
      </c>
      <c r="AY137" s="3">
        <v>-1403</v>
      </c>
      <c r="AZ137" s="3">
        <v>33</v>
      </c>
      <c r="BA137" s="3">
        <v>44</v>
      </c>
      <c r="BB137" s="3">
        <v>98</v>
      </c>
      <c r="BC137" s="3">
        <v>91</v>
      </c>
      <c r="BD137" s="3">
        <v>11</v>
      </c>
      <c r="BE137" s="3">
        <v>903</v>
      </c>
      <c r="BF137" s="3">
        <v>11</v>
      </c>
      <c r="BG137" s="3">
        <v>954</v>
      </c>
      <c r="BH137" s="3">
        <v>2652</v>
      </c>
      <c r="BI137" s="3">
        <v>0</v>
      </c>
      <c r="BJ137" s="3">
        <v>0</v>
      </c>
      <c r="BK137" s="3">
        <v>0</v>
      </c>
      <c r="BL137" s="3">
        <v>0</v>
      </c>
      <c r="BM137" s="3">
        <v>1156</v>
      </c>
      <c r="BN137" s="3">
        <v>85</v>
      </c>
      <c r="BO137" s="3" t="e">
        <f t="shared" si="17"/>
        <v>#DIV/0!</v>
      </c>
    </row>
    <row r="138" spans="1:67">
      <c r="A138" s="15"/>
      <c r="B138" s="15"/>
      <c r="C138" s="15"/>
      <c r="D138" s="16" t="s">
        <v>72</v>
      </c>
      <c r="AF138" s="3" t="e">
        <f t="shared" si="18"/>
        <v>#DIV/0!</v>
      </c>
      <c r="AG138" s="3" t="e">
        <f t="shared" si="19"/>
        <v>#DIV/0!</v>
      </c>
      <c r="AH138" s="3">
        <f t="shared" si="20"/>
        <v>0</v>
      </c>
      <c r="BO138" s="3" t="e">
        <f t="shared" si="17"/>
        <v>#DIV/0!</v>
      </c>
    </row>
    <row r="139" spans="1:67">
      <c r="A139" s="8">
        <v>22</v>
      </c>
      <c r="B139" s="8"/>
      <c r="C139" s="8" t="s">
        <v>104</v>
      </c>
      <c r="D139" s="9" t="s">
        <v>105</v>
      </c>
      <c r="E139" s="3">
        <v>47.6</v>
      </c>
      <c r="F139" s="3">
        <v>243</v>
      </c>
      <c r="H139" s="3">
        <v>7.218</v>
      </c>
      <c r="I139" s="3">
        <v>247.2</v>
      </c>
      <c r="J139" s="3">
        <v>138.1</v>
      </c>
      <c r="K139" s="3">
        <v>3.84</v>
      </c>
      <c r="L139" s="3">
        <v>1.34</v>
      </c>
      <c r="M139" s="3">
        <v>109</v>
      </c>
      <c r="N139" s="3">
        <v>5.8</v>
      </c>
      <c r="O139" s="3">
        <v>0.58</v>
      </c>
      <c r="P139" s="3">
        <v>83</v>
      </c>
      <c r="Q139" s="3">
        <v>20.7</v>
      </c>
      <c r="R139" s="3">
        <v>99.4</v>
      </c>
      <c r="S139" s="3">
        <v>7.186</v>
      </c>
      <c r="T139" s="3">
        <v>97.2</v>
      </c>
      <c r="U139" s="3">
        <v>137.9</v>
      </c>
      <c r="V139" s="3">
        <v>3.85</v>
      </c>
      <c r="W139" s="3">
        <v>1.37</v>
      </c>
      <c r="X139" s="3">
        <v>108</v>
      </c>
      <c r="Y139" s="3">
        <v>5.5</v>
      </c>
      <c r="Z139" s="3">
        <v>0.48</v>
      </c>
      <c r="AA139" s="3">
        <v>81</v>
      </c>
      <c r="AB139" s="3">
        <v>20.4</v>
      </c>
      <c r="AC139" s="3">
        <v>95.6</v>
      </c>
      <c r="AD139" s="3">
        <v>48</v>
      </c>
      <c r="AE139" s="3">
        <v>0.7</v>
      </c>
      <c r="AF139" s="3">
        <f t="shared" si="18"/>
        <v>0.0282186948853616</v>
      </c>
      <c r="AG139" s="3">
        <f t="shared" si="19"/>
        <v>3.29502386831277</v>
      </c>
      <c r="AH139" s="3">
        <f t="shared" si="20"/>
        <v>-0.1</v>
      </c>
      <c r="BO139" s="3">
        <f t="shared" si="17"/>
        <v>0</v>
      </c>
    </row>
    <row r="140" spans="1:67">
      <c r="A140" s="10"/>
      <c r="B140" s="10"/>
      <c r="C140" s="10"/>
      <c r="D140" s="9" t="s">
        <v>67</v>
      </c>
      <c r="E140" s="3">
        <v>47.6</v>
      </c>
      <c r="F140" s="3">
        <v>243</v>
      </c>
      <c r="AF140" s="3" t="e">
        <f t="shared" si="18"/>
        <v>#DIV/0!</v>
      </c>
      <c r="AG140" s="3">
        <f t="shared" si="19"/>
        <v>0</v>
      </c>
      <c r="AH140" s="3">
        <f t="shared" si="20"/>
        <v>0</v>
      </c>
      <c r="AI140" s="4">
        <v>2.75</v>
      </c>
      <c r="AJ140" s="4">
        <v>0.31</v>
      </c>
      <c r="AK140" s="4">
        <v>28.79</v>
      </c>
      <c r="AL140" s="4">
        <v>15.74</v>
      </c>
      <c r="AM140" s="4">
        <v>5.37</v>
      </c>
      <c r="AN140" s="4">
        <v>60.54</v>
      </c>
      <c r="AO140" s="3">
        <v>10</v>
      </c>
      <c r="AP140" s="3">
        <v>126</v>
      </c>
      <c r="AQ140" s="3">
        <v>146</v>
      </c>
      <c r="AR140" s="3">
        <v>261</v>
      </c>
      <c r="AS140" s="3">
        <v>269</v>
      </c>
      <c r="AT140" s="3">
        <v>123</v>
      </c>
      <c r="AU140" s="3">
        <v>7</v>
      </c>
      <c r="AV140" s="3">
        <v>44</v>
      </c>
      <c r="AW140" s="3">
        <v>143</v>
      </c>
      <c r="AX140" s="3">
        <v>1237</v>
      </c>
      <c r="AY140" s="3">
        <v>-1600</v>
      </c>
      <c r="AZ140" s="3">
        <v>43</v>
      </c>
      <c r="BA140" s="3">
        <v>44</v>
      </c>
      <c r="BB140" s="3">
        <v>103</v>
      </c>
      <c r="BC140" s="3">
        <v>96</v>
      </c>
      <c r="BD140" s="3">
        <v>11</v>
      </c>
      <c r="BE140" s="3">
        <v>909</v>
      </c>
      <c r="BF140" s="3">
        <v>10</v>
      </c>
      <c r="BG140" s="3">
        <v>1031</v>
      </c>
      <c r="BH140" s="3">
        <v>4179</v>
      </c>
      <c r="BI140" s="3">
        <v>0</v>
      </c>
      <c r="BJ140" s="3">
        <v>0</v>
      </c>
      <c r="BK140" s="3">
        <v>0</v>
      </c>
      <c r="BL140" s="3">
        <v>0</v>
      </c>
      <c r="BM140" s="3">
        <v>1111</v>
      </c>
      <c r="BN140" s="3">
        <v>84</v>
      </c>
      <c r="BO140" s="3">
        <f t="shared" si="17"/>
        <v>0.337217502678622</v>
      </c>
    </row>
    <row r="141" spans="1:67">
      <c r="A141" s="10"/>
      <c r="B141" s="10"/>
      <c r="C141" s="10"/>
      <c r="D141" s="9" t="s">
        <v>68</v>
      </c>
      <c r="E141" s="3">
        <v>47.6</v>
      </c>
      <c r="F141" s="3">
        <v>243</v>
      </c>
      <c r="AF141" s="3" t="e">
        <f t="shared" si="18"/>
        <v>#DIV/0!</v>
      </c>
      <c r="AG141" s="3">
        <f t="shared" si="19"/>
        <v>0</v>
      </c>
      <c r="AH141" s="3">
        <f t="shared" si="20"/>
        <v>0</v>
      </c>
      <c r="BO141" s="3">
        <f t="shared" si="17"/>
        <v>0</v>
      </c>
    </row>
    <row r="142" spans="1:67">
      <c r="A142" s="10"/>
      <c r="B142" s="10"/>
      <c r="C142" s="10"/>
      <c r="D142" s="9" t="s">
        <v>69</v>
      </c>
      <c r="E142" s="3">
        <v>47.6</v>
      </c>
      <c r="F142" s="3">
        <v>243</v>
      </c>
      <c r="H142" s="3">
        <v>7.238</v>
      </c>
      <c r="I142" s="3">
        <v>304</v>
      </c>
      <c r="J142" s="3">
        <v>116.4</v>
      </c>
      <c r="K142" s="3">
        <v>5.73</v>
      </c>
      <c r="L142" s="3">
        <v>1.14</v>
      </c>
      <c r="M142" s="3">
        <v>95</v>
      </c>
      <c r="N142" s="3">
        <v>6.9</v>
      </c>
      <c r="O142" s="3">
        <v>0.98</v>
      </c>
      <c r="P142" s="3">
        <v>65</v>
      </c>
      <c r="Q142" s="3">
        <v>18.6</v>
      </c>
      <c r="R142" s="3">
        <v>99.6</v>
      </c>
      <c r="S142" s="3">
        <v>7.257</v>
      </c>
      <c r="T142" s="3">
        <v>129.2</v>
      </c>
      <c r="U142" s="3">
        <v>117.2</v>
      </c>
      <c r="V142" s="3">
        <v>5.77</v>
      </c>
      <c r="W142" s="3">
        <v>1.17</v>
      </c>
      <c r="X142" s="3">
        <v>96</v>
      </c>
      <c r="Y142" s="3">
        <v>6.7</v>
      </c>
      <c r="Z142" s="3">
        <v>1.03</v>
      </c>
      <c r="AA142" s="3">
        <v>66</v>
      </c>
      <c r="AB142" s="3">
        <v>18</v>
      </c>
      <c r="AC142" s="3">
        <v>98.1</v>
      </c>
      <c r="AD142" s="3">
        <v>48</v>
      </c>
      <c r="AE142" s="3">
        <v>0.9</v>
      </c>
      <c r="AF142" s="3">
        <f t="shared" si="18"/>
        <v>0.0219478737997256</v>
      </c>
      <c r="AG142" s="3">
        <f t="shared" si="19"/>
        <v>2.00398518518518</v>
      </c>
      <c r="AH142" s="3">
        <f t="shared" si="20"/>
        <v>0.05</v>
      </c>
      <c r="BO142" s="3">
        <f t="shared" si="17"/>
        <v>0</v>
      </c>
    </row>
    <row r="143" spans="1:67">
      <c r="A143" s="10"/>
      <c r="B143" s="10"/>
      <c r="C143" s="10"/>
      <c r="D143" s="43" t="s">
        <v>70</v>
      </c>
      <c r="E143" s="3">
        <v>47.6</v>
      </c>
      <c r="F143" s="3">
        <v>243</v>
      </c>
      <c r="G143" s="3">
        <v>306</v>
      </c>
      <c r="H143" s="3">
        <v>7.433</v>
      </c>
      <c r="I143" s="3">
        <v>329</v>
      </c>
      <c r="J143" s="3">
        <v>117</v>
      </c>
      <c r="K143" s="3">
        <v>5.9</v>
      </c>
      <c r="L143" s="3">
        <v>1.1</v>
      </c>
      <c r="M143" s="3">
        <v>96</v>
      </c>
      <c r="N143" s="3">
        <v>5.1</v>
      </c>
      <c r="O143" s="3">
        <v>2.55</v>
      </c>
      <c r="P143" s="3">
        <v>66</v>
      </c>
      <c r="Q143" s="3">
        <v>14.9</v>
      </c>
      <c r="R143" s="3">
        <v>99.8</v>
      </c>
      <c r="S143" s="3">
        <v>7.403</v>
      </c>
      <c r="T143" s="3">
        <v>125.8</v>
      </c>
      <c r="U143" s="3">
        <v>116.7</v>
      </c>
      <c r="V143" s="3">
        <v>5.93</v>
      </c>
      <c r="W143" s="3">
        <v>1.11</v>
      </c>
      <c r="X143" s="3">
        <v>96</v>
      </c>
      <c r="Y143" s="3">
        <v>5.1</v>
      </c>
      <c r="Z143" s="3">
        <v>2.56</v>
      </c>
      <c r="AA143" s="3">
        <v>65</v>
      </c>
      <c r="AB143" s="3">
        <v>14.6</v>
      </c>
      <c r="AC143" s="3">
        <v>98.6</v>
      </c>
      <c r="AD143" s="3">
        <v>47</v>
      </c>
      <c r="AE143" s="3">
        <v>0.9</v>
      </c>
      <c r="AF143" s="3">
        <f t="shared" si="18"/>
        <v>0.021490626428898</v>
      </c>
      <c r="AG143" s="3">
        <f t="shared" si="19"/>
        <v>3.21545185185186</v>
      </c>
      <c r="AH143" s="3">
        <f t="shared" si="20"/>
        <v>0.0100000000000002</v>
      </c>
      <c r="AI143" s="4">
        <v>4.15</v>
      </c>
      <c r="AJ143" s="4">
        <v>0.3</v>
      </c>
      <c r="AK143" s="4">
        <v>20.21</v>
      </c>
      <c r="AL143" s="4">
        <v>8.72</v>
      </c>
      <c r="AM143" s="4">
        <v>12.69</v>
      </c>
      <c r="AN143" s="4">
        <v>38.91</v>
      </c>
      <c r="AO143" s="3">
        <v>15</v>
      </c>
      <c r="AP143" s="3">
        <v>95</v>
      </c>
      <c r="AQ143" s="3">
        <v>116</v>
      </c>
      <c r="AR143" s="3">
        <v>238</v>
      </c>
      <c r="AS143" s="3">
        <v>188</v>
      </c>
      <c r="AT143" s="3">
        <v>106</v>
      </c>
      <c r="AU143" s="3">
        <v>13</v>
      </c>
      <c r="AV143" s="3">
        <v>59</v>
      </c>
      <c r="AW143" s="3">
        <v>118</v>
      </c>
      <c r="AX143" s="3">
        <v>1014</v>
      </c>
      <c r="AY143" s="3">
        <v>-1078</v>
      </c>
      <c r="AZ143" s="3">
        <v>35</v>
      </c>
      <c r="BA143" s="3">
        <v>55</v>
      </c>
      <c r="BB143" s="3">
        <v>72</v>
      </c>
      <c r="BC143" s="3">
        <v>61</v>
      </c>
      <c r="BD143" s="3">
        <v>12</v>
      </c>
      <c r="BE143" s="3">
        <v>1211</v>
      </c>
      <c r="BF143" s="3">
        <v>17</v>
      </c>
      <c r="BG143" s="3">
        <v>516</v>
      </c>
      <c r="BH143" s="3">
        <v>5027</v>
      </c>
      <c r="BI143" s="3">
        <v>1</v>
      </c>
      <c r="BJ143" s="3">
        <v>0</v>
      </c>
      <c r="BK143" s="3">
        <v>0</v>
      </c>
      <c r="BL143" s="3">
        <v>0</v>
      </c>
      <c r="BM143" s="3">
        <v>837</v>
      </c>
      <c r="BN143" s="3">
        <v>99</v>
      </c>
      <c r="BO143" s="3">
        <f t="shared" si="17"/>
        <v>0.449252360554248</v>
      </c>
    </row>
    <row r="144" spans="1:67">
      <c r="A144" s="15"/>
      <c r="B144" s="15"/>
      <c r="C144" s="15"/>
      <c r="D144" s="16" t="s">
        <v>72</v>
      </c>
      <c r="AF144" s="3" t="e">
        <f t="shared" si="18"/>
        <v>#DIV/0!</v>
      </c>
      <c r="AG144" s="3" t="e">
        <f t="shared" si="19"/>
        <v>#DIV/0!</v>
      </c>
      <c r="AH144" s="3">
        <f t="shared" si="20"/>
        <v>0</v>
      </c>
      <c r="BO144" s="3" t="e">
        <f t="shared" si="17"/>
        <v>#DIV/0!</v>
      </c>
    </row>
    <row r="145" spans="1:67">
      <c r="A145" s="8">
        <v>23</v>
      </c>
      <c r="B145" s="8"/>
      <c r="C145" s="8" t="s">
        <v>106</v>
      </c>
      <c r="D145" s="9" t="s">
        <v>107</v>
      </c>
      <c r="E145" s="3">
        <v>47.4</v>
      </c>
      <c r="F145" s="3">
        <v>275</v>
      </c>
      <c r="H145" s="3">
        <v>7.48</v>
      </c>
      <c r="J145" s="3">
        <v>140.8</v>
      </c>
      <c r="K145" s="3">
        <v>5.59</v>
      </c>
      <c r="L145" s="3">
        <v>0.98</v>
      </c>
      <c r="M145" s="3">
        <v>106</v>
      </c>
      <c r="N145" s="3">
        <v>7.3</v>
      </c>
      <c r="O145" s="3">
        <v>1.92</v>
      </c>
      <c r="Q145" s="3">
        <v>19.9</v>
      </c>
      <c r="S145" s="3">
        <v>7.445</v>
      </c>
      <c r="U145" s="3">
        <v>138.3</v>
      </c>
      <c r="V145" s="3">
        <v>6.05</v>
      </c>
      <c r="W145" s="3">
        <v>0.94</v>
      </c>
      <c r="X145" s="3">
        <v>103</v>
      </c>
      <c r="Y145" s="3">
        <v>6.6</v>
      </c>
      <c r="Z145" s="3">
        <v>1.79</v>
      </c>
      <c r="AB145" s="3">
        <v>19.2</v>
      </c>
      <c r="AD145" s="3">
        <v>51</v>
      </c>
      <c r="AE145" s="3">
        <v>0.46</v>
      </c>
      <c r="AF145" s="3">
        <f t="shared" si="18"/>
        <v>0.0403162055335968</v>
      </c>
      <c r="AG145" s="3">
        <f t="shared" si="19"/>
        <v>0</v>
      </c>
      <c r="AH145" s="3">
        <f t="shared" si="20"/>
        <v>-0.13</v>
      </c>
      <c r="BO145" s="3">
        <f t="shared" si="17"/>
        <v>0</v>
      </c>
    </row>
    <row r="146" spans="1:67">
      <c r="A146" s="10"/>
      <c r="B146" s="10"/>
      <c r="C146" s="10"/>
      <c r="D146" s="9" t="s">
        <v>67</v>
      </c>
      <c r="E146" s="3">
        <v>47.4</v>
      </c>
      <c r="F146" s="3">
        <v>275</v>
      </c>
      <c r="AF146" s="3" t="e">
        <f t="shared" si="18"/>
        <v>#DIV/0!</v>
      </c>
      <c r="AG146" s="3">
        <f t="shared" si="19"/>
        <v>0</v>
      </c>
      <c r="AH146" s="3">
        <f t="shared" si="20"/>
        <v>0</v>
      </c>
      <c r="AI146" s="4">
        <v>11.66</v>
      </c>
      <c r="AJ146" s="4">
        <v>0.16</v>
      </c>
      <c r="AK146" s="4">
        <v>64.15</v>
      </c>
      <c r="AL146" s="4">
        <v>44.9</v>
      </c>
      <c r="AM146" s="4">
        <v>23.94</v>
      </c>
      <c r="AN146" s="4">
        <v>56.02</v>
      </c>
      <c r="AO146" s="3">
        <v>-1</v>
      </c>
      <c r="AP146" s="3">
        <v>92</v>
      </c>
      <c r="AQ146" s="3">
        <v>104</v>
      </c>
      <c r="AR146" s="3">
        <v>196</v>
      </c>
      <c r="AS146" s="3">
        <v>167</v>
      </c>
      <c r="AT146" s="3">
        <v>85</v>
      </c>
      <c r="AU146" s="3">
        <v>-2</v>
      </c>
      <c r="AV146" s="3">
        <v>49</v>
      </c>
      <c r="AW146" s="3">
        <v>135</v>
      </c>
      <c r="AX146" s="3">
        <v>1426</v>
      </c>
      <c r="AY146" s="3">
        <v>-1349</v>
      </c>
      <c r="AZ146" s="3">
        <v>41</v>
      </c>
      <c r="BA146" s="3">
        <v>13</v>
      </c>
      <c r="BB146" s="3">
        <v>80</v>
      </c>
      <c r="BC146" s="3">
        <v>62</v>
      </c>
      <c r="BD146" s="3">
        <v>19</v>
      </c>
      <c r="BE146" s="3">
        <v>2106</v>
      </c>
      <c r="BF146" s="3">
        <v>24</v>
      </c>
      <c r="BG146" s="3">
        <v>884</v>
      </c>
      <c r="BH146" s="3">
        <v>3597</v>
      </c>
      <c r="BI146" s="3">
        <v>1</v>
      </c>
      <c r="BJ146" s="3">
        <v>0</v>
      </c>
      <c r="BK146" s="3">
        <v>0</v>
      </c>
      <c r="BL146" s="3">
        <v>0</v>
      </c>
      <c r="BM146" s="3">
        <v>877</v>
      </c>
      <c r="BN146" s="3">
        <v>110</v>
      </c>
      <c r="BO146" s="3">
        <f t="shared" si="17"/>
        <v>0.720377367321456</v>
      </c>
    </row>
    <row r="147" spans="1:67">
      <c r="A147" s="10"/>
      <c r="B147" s="10"/>
      <c r="C147" s="10"/>
      <c r="D147" s="9" t="s">
        <v>68</v>
      </c>
      <c r="E147" s="3">
        <v>47.4</v>
      </c>
      <c r="F147" s="3">
        <v>275</v>
      </c>
      <c r="AF147" s="3" t="e">
        <f t="shared" si="18"/>
        <v>#DIV/0!</v>
      </c>
      <c r="AG147" s="3">
        <f t="shared" si="19"/>
        <v>0</v>
      </c>
      <c r="AH147" s="3">
        <f t="shared" si="20"/>
        <v>0</v>
      </c>
      <c r="BO147" s="3">
        <f t="shared" si="17"/>
        <v>0</v>
      </c>
    </row>
    <row r="148" spans="1:67">
      <c r="A148" s="10"/>
      <c r="B148" s="10"/>
      <c r="C148" s="10"/>
      <c r="D148" s="9" t="s">
        <v>69</v>
      </c>
      <c r="E148" s="3">
        <v>47.4</v>
      </c>
      <c r="F148" s="3">
        <v>275</v>
      </c>
      <c r="H148" s="3">
        <v>7.262</v>
      </c>
      <c r="I148" s="3">
        <v>204.6</v>
      </c>
      <c r="J148" s="3">
        <v>142.9</v>
      </c>
      <c r="K148" s="3">
        <v>5.47</v>
      </c>
      <c r="L148" s="3">
        <v>1.38</v>
      </c>
      <c r="M148" s="3">
        <v>109</v>
      </c>
      <c r="N148" s="3">
        <v>7.9</v>
      </c>
      <c r="O148" s="3">
        <v>1.53</v>
      </c>
      <c r="P148" s="3">
        <v>89</v>
      </c>
      <c r="Q148" s="3">
        <v>23.1</v>
      </c>
      <c r="R148" s="3">
        <v>99.2</v>
      </c>
      <c r="S148" s="3">
        <v>7.253</v>
      </c>
      <c r="T148" s="3">
        <v>108.4</v>
      </c>
      <c r="U148" s="3">
        <v>144.1</v>
      </c>
      <c r="V148" s="3">
        <v>5.46</v>
      </c>
      <c r="W148" s="3">
        <v>1.39</v>
      </c>
      <c r="X148" s="3">
        <v>107</v>
      </c>
      <c r="Y148" s="3">
        <v>7.4</v>
      </c>
      <c r="Z148" s="3">
        <v>1.38</v>
      </c>
      <c r="AA148" s="3">
        <v>89</v>
      </c>
      <c r="AB148" s="3">
        <v>21.8</v>
      </c>
      <c r="AC148" s="3">
        <v>97.2</v>
      </c>
      <c r="AD148" s="3">
        <v>48</v>
      </c>
      <c r="AE148" s="3">
        <v>1.02</v>
      </c>
      <c r="AF148" s="3">
        <f t="shared" si="18"/>
        <v>0.0171122994652406</v>
      </c>
      <c r="AG148" s="3">
        <f t="shared" si="19"/>
        <v>1.99081745454545</v>
      </c>
      <c r="AH148" s="3">
        <f t="shared" si="20"/>
        <v>-0.15</v>
      </c>
      <c r="BO148" s="3">
        <f t="shared" si="17"/>
        <v>0</v>
      </c>
    </row>
    <row r="149" spans="1:67">
      <c r="A149" s="10"/>
      <c r="B149" s="10"/>
      <c r="C149" s="10"/>
      <c r="D149" s="43" t="s">
        <v>70</v>
      </c>
      <c r="E149" s="3">
        <v>47.4</v>
      </c>
      <c r="F149" s="3">
        <v>275</v>
      </c>
      <c r="G149" s="3">
        <v>326</v>
      </c>
      <c r="AD149" s="3">
        <v>53</v>
      </c>
      <c r="AE149" s="3">
        <v>1.03</v>
      </c>
      <c r="AF149" s="3">
        <f t="shared" si="18"/>
        <v>0.018711385701677</v>
      </c>
      <c r="AG149" s="3">
        <f t="shared" si="19"/>
        <v>0</v>
      </c>
      <c r="AH149" s="3">
        <f t="shared" si="20"/>
        <v>0</v>
      </c>
      <c r="AI149" s="4">
        <v>5.35</v>
      </c>
      <c r="AJ149" s="4">
        <v>0.31</v>
      </c>
      <c r="AK149" s="4">
        <v>38.59</v>
      </c>
      <c r="AL149" s="4">
        <v>7.91</v>
      </c>
      <c r="AM149" s="4">
        <v>7.6</v>
      </c>
      <c r="AN149" s="4">
        <v>92.5</v>
      </c>
      <c r="AO149" s="3">
        <v>3</v>
      </c>
      <c r="AP149" s="3">
        <v>72</v>
      </c>
      <c r="AQ149" s="3">
        <v>89</v>
      </c>
      <c r="AR149" s="3">
        <v>244</v>
      </c>
      <c r="AS149" s="3">
        <v>210</v>
      </c>
      <c r="AT149" s="3">
        <v>72</v>
      </c>
      <c r="AU149" s="3">
        <v>0</v>
      </c>
      <c r="AV149" s="3">
        <v>32</v>
      </c>
      <c r="AW149" s="3">
        <v>135</v>
      </c>
      <c r="AX149" s="3">
        <v>1079</v>
      </c>
      <c r="AY149" s="3">
        <v>-1044</v>
      </c>
      <c r="AZ149" s="3">
        <v>60</v>
      </c>
      <c r="BA149" s="3">
        <v>15</v>
      </c>
      <c r="BB149" s="3">
        <v>122</v>
      </c>
      <c r="BC149" s="3">
        <v>105</v>
      </c>
      <c r="BD149" s="3">
        <v>18</v>
      </c>
      <c r="BE149" s="3">
        <v>1764</v>
      </c>
      <c r="BF149" s="3">
        <v>15</v>
      </c>
      <c r="BG149" s="3">
        <v>728</v>
      </c>
      <c r="BH149" s="3">
        <v>12763</v>
      </c>
      <c r="BI149" s="3">
        <v>1</v>
      </c>
      <c r="BJ149" s="3">
        <v>0</v>
      </c>
      <c r="BK149" s="3">
        <v>0</v>
      </c>
      <c r="BL149" s="3">
        <v>0</v>
      </c>
      <c r="BM149" s="3">
        <v>843</v>
      </c>
      <c r="BN149" s="3">
        <v>97</v>
      </c>
      <c r="BO149" s="3">
        <f t="shared" si="17"/>
        <v>0.603393008525664</v>
      </c>
    </row>
    <row r="150" spans="1:67">
      <c r="A150" s="15"/>
      <c r="B150" s="15"/>
      <c r="C150" s="15"/>
      <c r="D150" s="16" t="s">
        <v>72</v>
      </c>
      <c r="AF150" s="3" t="e">
        <f t="shared" si="18"/>
        <v>#DIV/0!</v>
      </c>
      <c r="AG150" s="3" t="e">
        <f t="shared" si="19"/>
        <v>#DIV/0!</v>
      </c>
      <c r="AH150" s="3">
        <f t="shared" si="20"/>
        <v>0</v>
      </c>
      <c r="BO150" s="3" t="e">
        <f t="shared" si="17"/>
        <v>#DIV/0!</v>
      </c>
    </row>
    <row r="151" spans="1:67">
      <c r="A151" s="8">
        <v>24</v>
      </c>
      <c r="B151" s="8"/>
      <c r="C151" s="8" t="s">
        <v>108</v>
      </c>
      <c r="D151" s="9" t="s">
        <v>66</v>
      </c>
      <c r="E151" s="3">
        <v>55.6</v>
      </c>
      <c r="F151" s="3">
        <v>265</v>
      </c>
      <c r="AF151" s="3" t="e">
        <f t="shared" si="18"/>
        <v>#DIV/0!</v>
      </c>
      <c r="AG151" s="3">
        <f t="shared" si="19"/>
        <v>0</v>
      </c>
      <c r="AH151" s="3">
        <f t="shared" si="20"/>
        <v>0</v>
      </c>
      <c r="BO151" s="3">
        <f t="shared" si="17"/>
        <v>0</v>
      </c>
    </row>
    <row r="152" spans="1:67">
      <c r="A152" s="10"/>
      <c r="B152" s="10"/>
      <c r="C152" s="10"/>
      <c r="D152" s="9" t="s">
        <v>67</v>
      </c>
      <c r="E152" s="3">
        <v>55.6</v>
      </c>
      <c r="F152" s="3">
        <v>265</v>
      </c>
      <c r="H152" s="3">
        <v>7.266</v>
      </c>
      <c r="I152" s="3">
        <v>198.7</v>
      </c>
      <c r="J152" s="3">
        <v>132.5</v>
      </c>
      <c r="K152" s="3">
        <v>5.21</v>
      </c>
      <c r="L152" s="3">
        <v>1.27</v>
      </c>
      <c r="M152" s="3">
        <v>106</v>
      </c>
      <c r="N152" s="3">
        <v>7</v>
      </c>
      <c r="O152" s="3">
        <v>1.34</v>
      </c>
      <c r="P152" s="3">
        <v>96</v>
      </c>
      <c r="Q152" s="3">
        <v>21.9</v>
      </c>
      <c r="R152" s="3">
        <v>99.1</v>
      </c>
      <c r="S152" s="3">
        <v>7.194</v>
      </c>
      <c r="T152" s="3">
        <v>55.8</v>
      </c>
      <c r="U152" s="3">
        <v>132.9</v>
      </c>
      <c r="V152" s="3">
        <v>5.1</v>
      </c>
      <c r="W152" s="3">
        <v>1.28</v>
      </c>
      <c r="X152" s="3">
        <v>105</v>
      </c>
      <c r="Y152" s="3">
        <v>6.8</v>
      </c>
      <c r="Z152" s="3">
        <v>1.09</v>
      </c>
      <c r="AA152" s="3">
        <v>96</v>
      </c>
      <c r="AB152" s="3">
        <v>23.3</v>
      </c>
      <c r="AC152" s="3">
        <v>81.2</v>
      </c>
      <c r="AD152" s="3">
        <v>50</v>
      </c>
      <c r="AE152" s="3">
        <v>0.23</v>
      </c>
      <c r="AF152" s="3">
        <f t="shared" si="18"/>
        <v>0.0820344544708777</v>
      </c>
      <c r="AG152" s="3">
        <f t="shared" si="19"/>
        <v>2.38301350943396</v>
      </c>
      <c r="AH152" s="3">
        <f t="shared" si="20"/>
        <v>-0.25</v>
      </c>
      <c r="AI152" s="4">
        <v>6.46</v>
      </c>
      <c r="AJ152" s="4">
        <v>0.17</v>
      </c>
      <c r="AK152" s="4">
        <v>122.35</v>
      </c>
      <c r="AL152" s="4">
        <v>9.73</v>
      </c>
      <c r="AM152" s="4">
        <v>8.95</v>
      </c>
      <c r="AN152" s="4">
        <v>9.71</v>
      </c>
      <c r="AO152" s="3">
        <v>4</v>
      </c>
      <c r="AP152" s="3">
        <v>105</v>
      </c>
      <c r="AQ152" s="3">
        <v>117</v>
      </c>
      <c r="AR152" s="3">
        <v>202</v>
      </c>
      <c r="AS152" s="3">
        <v>205</v>
      </c>
      <c r="AT152" s="3">
        <v>100</v>
      </c>
      <c r="AU152" s="3">
        <v>3</v>
      </c>
      <c r="AV152" s="3">
        <v>62</v>
      </c>
      <c r="AW152" s="3">
        <v>115</v>
      </c>
      <c r="AX152" s="3">
        <v>1360</v>
      </c>
      <c r="AY152" s="3">
        <v>-1514</v>
      </c>
      <c r="AZ152" s="3">
        <v>34</v>
      </c>
      <c r="BA152" s="3">
        <v>22</v>
      </c>
      <c r="BB152" s="3">
        <v>42</v>
      </c>
      <c r="BC152" s="3">
        <v>25</v>
      </c>
      <c r="BD152" s="3">
        <v>22</v>
      </c>
      <c r="BE152" s="3">
        <v>2226</v>
      </c>
      <c r="BF152" s="3">
        <v>47</v>
      </c>
      <c r="BG152" s="3">
        <v>1662</v>
      </c>
      <c r="BH152" s="3">
        <v>7210</v>
      </c>
      <c r="BI152" s="3">
        <v>4</v>
      </c>
      <c r="BJ152" s="3">
        <v>0</v>
      </c>
      <c r="BK152" s="3">
        <v>0</v>
      </c>
      <c r="BL152" s="3">
        <v>0</v>
      </c>
      <c r="BM152" s="3">
        <v>2064</v>
      </c>
      <c r="BN152" s="3">
        <v>103</v>
      </c>
      <c r="BO152" s="3">
        <f t="shared" si="17"/>
        <v>0.780153042952147</v>
      </c>
    </row>
    <row r="153" spans="1:67">
      <c r="A153" s="10"/>
      <c r="B153" s="10"/>
      <c r="C153" s="10"/>
      <c r="D153" s="9" t="s">
        <v>68</v>
      </c>
      <c r="E153" s="3">
        <v>55.6</v>
      </c>
      <c r="F153" s="3">
        <v>265</v>
      </c>
      <c r="H153" s="3">
        <v>7.242</v>
      </c>
      <c r="I153" s="3">
        <v>231.1</v>
      </c>
      <c r="J153" s="3">
        <v>133.6</v>
      </c>
      <c r="K153" s="3">
        <v>5.26</v>
      </c>
      <c r="L153" s="3">
        <v>1.29</v>
      </c>
      <c r="M153" s="3">
        <v>108</v>
      </c>
      <c r="N153" s="3">
        <v>6.4</v>
      </c>
      <c r="O153" s="3">
        <v>0.68</v>
      </c>
      <c r="P153" s="3">
        <v>93</v>
      </c>
      <c r="Q153" s="3">
        <v>21.5</v>
      </c>
      <c r="R153" s="3">
        <v>99.4</v>
      </c>
      <c r="S153" s="3">
        <v>7.233</v>
      </c>
      <c r="T153" s="3">
        <v>99.4</v>
      </c>
      <c r="U153" s="3">
        <v>134.1</v>
      </c>
      <c r="V153" s="3">
        <v>5.25</v>
      </c>
      <c r="W153" s="3">
        <v>1.28</v>
      </c>
      <c r="X153" s="3">
        <v>108</v>
      </c>
      <c r="Y153" s="3">
        <v>6.6</v>
      </c>
      <c r="Z153" s="3">
        <v>0.61</v>
      </c>
      <c r="AA153" s="3">
        <v>92</v>
      </c>
      <c r="AB153" s="3">
        <v>22.2</v>
      </c>
      <c r="AC153" s="3">
        <v>96.3</v>
      </c>
      <c r="AD153" s="3">
        <v>52</v>
      </c>
      <c r="AE153" s="3">
        <v>0.91</v>
      </c>
      <c r="AF153" s="3">
        <f t="shared" si="18"/>
        <v>0.0215633423180593</v>
      </c>
      <c r="AG153" s="3">
        <f t="shared" si="19"/>
        <v>3.1717243018868</v>
      </c>
      <c r="AH153" s="3">
        <f t="shared" si="20"/>
        <v>-0.0700000000000001</v>
      </c>
      <c r="BO153" s="3">
        <f t="shared" si="17"/>
        <v>0</v>
      </c>
    </row>
    <row r="154" spans="1:67">
      <c r="A154" s="10"/>
      <c r="B154" s="10"/>
      <c r="C154" s="10"/>
      <c r="D154" s="9" t="s">
        <v>69</v>
      </c>
      <c r="E154" s="3">
        <v>55.6</v>
      </c>
      <c r="F154" s="3">
        <v>265</v>
      </c>
      <c r="H154" s="3">
        <v>7.31</v>
      </c>
      <c r="I154" s="3">
        <v>216</v>
      </c>
      <c r="J154" s="3">
        <v>135</v>
      </c>
      <c r="K154" s="3">
        <v>5.67</v>
      </c>
      <c r="L154" s="3">
        <v>1.23</v>
      </c>
      <c r="M154" s="3">
        <v>109</v>
      </c>
      <c r="N154" s="3">
        <v>5.3</v>
      </c>
      <c r="O154" s="3">
        <v>1.09</v>
      </c>
      <c r="P154" s="3">
        <v>89</v>
      </c>
      <c r="Q154" s="3">
        <v>19.5</v>
      </c>
      <c r="R154" s="3">
        <v>99.4</v>
      </c>
      <c r="S154" s="3">
        <v>7.294</v>
      </c>
      <c r="T154" s="3">
        <v>99.5</v>
      </c>
      <c r="U154" s="3">
        <v>135</v>
      </c>
      <c r="V154" s="3">
        <v>5.86</v>
      </c>
      <c r="W154" s="3">
        <v>1.22</v>
      </c>
      <c r="X154" s="3">
        <v>108</v>
      </c>
      <c r="Y154" s="3">
        <v>5.3</v>
      </c>
      <c r="Z154" s="3">
        <v>1.04</v>
      </c>
      <c r="AA154" s="3">
        <v>89</v>
      </c>
      <c r="AB154" s="3">
        <v>20.4</v>
      </c>
      <c r="AC154" s="3">
        <v>96.9</v>
      </c>
      <c r="AD154" s="3">
        <v>50</v>
      </c>
      <c r="AE154" s="3">
        <v>0.85</v>
      </c>
      <c r="AF154" s="3">
        <f t="shared" si="18"/>
        <v>0.0221975582685905</v>
      </c>
      <c r="AG154" s="3">
        <f t="shared" si="19"/>
        <v>2.1147358490566</v>
      </c>
      <c r="AH154" s="3">
        <f t="shared" si="20"/>
        <v>-0.05</v>
      </c>
      <c r="BO154" s="3">
        <f t="shared" si="17"/>
        <v>0</v>
      </c>
    </row>
    <row r="155" spans="1:67">
      <c r="A155" s="10"/>
      <c r="B155" s="10"/>
      <c r="C155" s="10"/>
      <c r="D155" s="43" t="s">
        <v>70</v>
      </c>
      <c r="E155" s="3">
        <v>55.6</v>
      </c>
      <c r="F155" s="3">
        <v>265</v>
      </c>
      <c r="G155" s="3">
        <v>327</v>
      </c>
      <c r="AD155" s="3">
        <v>52</v>
      </c>
      <c r="AE155" s="3">
        <v>1.05</v>
      </c>
      <c r="AF155" s="3">
        <f t="shared" si="18"/>
        <v>0.0186882300089847</v>
      </c>
      <c r="AG155" s="3">
        <f t="shared" si="19"/>
        <v>0</v>
      </c>
      <c r="AH155" s="3">
        <f t="shared" si="20"/>
        <v>0</v>
      </c>
      <c r="AI155" s="4">
        <v>5.49</v>
      </c>
      <c r="AJ155" s="4">
        <v>0.36</v>
      </c>
      <c r="AK155" s="4">
        <v>106.35</v>
      </c>
      <c r="AL155" s="4">
        <v>24.56</v>
      </c>
      <c r="AM155" s="4">
        <v>14.54</v>
      </c>
      <c r="AN155" s="4">
        <v>16.72</v>
      </c>
      <c r="AO155" s="3">
        <v>3</v>
      </c>
      <c r="AP155" s="3">
        <v>75</v>
      </c>
      <c r="AQ155" s="3">
        <v>88</v>
      </c>
      <c r="AR155" s="3">
        <v>222</v>
      </c>
      <c r="AS155" s="3">
        <v>179</v>
      </c>
      <c r="AT155" s="3">
        <v>75</v>
      </c>
      <c r="AU155" s="3">
        <v>3</v>
      </c>
      <c r="AV155" s="3">
        <v>54</v>
      </c>
      <c r="AW155" s="3">
        <v>120</v>
      </c>
      <c r="AX155" s="3">
        <v>931</v>
      </c>
      <c r="AY155" s="3">
        <v>-1047</v>
      </c>
      <c r="AZ155" s="3">
        <v>35</v>
      </c>
      <c r="BA155" s="3">
        <v>18</v>
      </c>
      <c r="BB155" s="3">
        <v>51</v>
      </c>
      <c r="BC155" s="3">
        <v>31</v>
      </c>
      <c r="BD155" s="3">
        <v>22</v>
      </c>
      <c r="BE155" s="3">
        <v>2297</v>
      </c>
      <c r="BF155" s="3">
        <v>42</v>
      </c>
      <c r="BG155" s="3">
        <v>1188</v>
      </c>
      <c r="BH155" s="3">
        <v>7965</v>
      </c>
      <c r="BI155" s="3">
        <v>3</v>
      </c>
      <c r="BJ155" s="3">
        <v>0</v>
      </c>
      <c r="BK155" s="3">
        <v>0</v>
      </c>
      <c r="BL155" s="3">
        <v>0</v>
      </c>
      <c r="BM155" s="3">
        <v>1479</v>
      </c>
      <c r="BN155" s="3">
        <v>104</v>
      </c>
      <c r="BO155" s="3">
        <f t="shared" si="17"/>
        <v>0.805036630575508</v>
      </c>
    </row>
    <row r="156" spans="1:67">
      <c r="A156" s="15"/>
      <c r="B156" s="15"/>
      <c r="C156" s="15"/>
      <c r="D156" s="16" t="s">
        <v>72</v>
      </c>
      <c r="AF156" s="3" t="e">
        <f t="shared" si="18"/>
        <v>#DIV/0!</v>
      </c>
      <c r="AG156" s="3" t="e">
        <f t="shared" si="19"/>
        <v>#DIV/0!</v>
      </c>
      <c r="AH156" s="3">
        <f t="shared" si="20"/>
        <v>0</v>
      </c>
      <c r="BO156" s="3" t="e">
        <f t="shared" si="17"/>
        <v>#DIV/0!</v>
      </c>
    </row>
    <row r="157" spans="1:67">
      <c r="A157" s="8">
        <v>25</v>
      </c>
      <c r="B157" s="8"/>
      <c r="C157" s="8" t="s">
        <v>109</v>
      </c>
      <c r="D157" s="9" t="s">
        <v>66</v>
      </c>
      <c r="E157" s="3">
        <v>45.3</v>
      </c>
      <c r="F157" s="3">
        <v>227</v>
      </c>
      <c r="AF157" s="3" t="e">
        <f t="shared" si="18"/>
        <v>#DIV/0!</v>
      </c>
      <c r="AG157" s="3">
        <f t="shared" si="19"/>
        <v>0</v>
      </c>
      <c r="AH157" s="3">
        <f t="shared" si="20"/>
        <v>0</v>
      </c>
      <c r="BO157" s="3">
        <f t="shared" si="17"/>
        <v>0</v>
      </c>
    </row>
    <row r="158" spans="1:67">
      <c r="A158" s="10"/>
      <c r="B158" s="10"/>
      <c r="C158" s="10"/>
      <c r="D158" s="9" t="s">
        <v>67</v>
      </c>
      <c r="E158" s="3">
        <v>45.3</v>
      </c>
      <c r="F158" s="3">
        <v>227</v>
      </c>
      <c r="H158" s="3">
        <v>7.219</v>
      </c>
      <c r="I158" s="3">
        <v>225.1</v>
      </c>
      <c r="J158" s="3">
        <v>137.9</v>
      </c>
      <c r="K158" s="3">
        <v>2.98</v>
      </c>
      <c r="L158" s="3">
        <v>1.67</v>
      </c>
      <c r="M158" s="3">
        <v>109</v>
      </c>
      <c r="N158" s="3">
        <v>36.2</v>
      </c>
      <c r="O158" s="3">
        <v>1.09</v>
      </c>
      <c r="P158" s="3">
        <v>88</v>
      </c>
      <c r="Q158" s="3">
        <v>20.4</v>
      </c>
      <c r="R158" s="3">
        <v>99.3</v>
      </c>
      <c r="S158" s="3">
        <v>7.215</v>
      </c>
      <c r="T158" s="3">
        <v>102.3</v>
      </c>
      <c r="U158" s="3">
        <v>137.7</v>
      </c>
      <c r="V158" s="3">
        <v>2.93</v>
      </c>
      <c r="W158" s="3">
        <v>1.67</v>
      </c>
      <c r="X158" s="3">
        <v>109</v>
      </c>
      <c r="Y158" s="3">
        <v>35.7</v>
      </c>
      <c r="Z158" s="3">
        <v>1.05</v>
      </c>
      <c r="AA158" s="3">
        <v>88</v>
      </c>
      <c r="AB158" s="3">
        <v>20.5</v>
      </c>
      <c r="AC158" s="3">
        <v>96.4</v>
      </c>
      <c r="AD158" s="3">
        <v>49</v>
      </c>
      <c r="AE158" s="3">
        <v>0.56</v>
      </c>
      <c r="AF158" s="3">
        <f t="shared" si="18"/>
        <v>0.0385462555066079</v>
      </c>
      <c r="AG158" s="3">
        <f t="shared" si="19"/>
        <v>1.7827439647577</v>
      </c>
      <c r="AH158" s="3">
        <f t="shared" si="20"/>
        <v>-0.04</v>
      </c>
      <c r="AI158" s="4">
        <v>4.64</v>
      </c>
      <c r="AJ158" s="4">
        <v>0.23</v>
      </c>
      <c r="AK158" s="4">
        <v>29.67</v>
      </c>
      <c r="AL158" s="4">
        <v>14.86</v>
      </c>
      <c r="AM158" s="4">
        <v>8.75</v>
      </c>
      <c r="AN158" s="4">
        <v>25.48</v>
      </c>
      <c r="AO158" s="3">
        <v>17</v>
      </c>
      <c r="AP158" s="3">
        <v>110</v>
      </c>
      <c r="AQ158" s="3">
        <v>122</v>
      </c>
      <c r="AR158" s="3">
        <v>221</v>
      </c>
      <c r="AS158" s="3">
        <v>259</v>
      </c>
      <c r="AT158" s="3">
        <v>109</v>
      </c>
      <c r="AU158" s="3">
        <v>11</v>
      </c>
      <c r="AV158" s="3">
        <v>66</v>
      </c>
      <c r="AW158" s="3">
        <v>149</v>
      </c>
      <c r="AX158" s="3">
        <v>866</v>
      </c>
      <c r="AY158" s="3">
        <v>-1541</v>
      </c>
      <c r="AZ158" s="3">
        <v>21</v>
      </c>
      <c r="BA158" s="3">
        <v>50</v>
      </c>
      <c r="BB158" s="3">
        <v>79</v>
      </c>
      <c r="BC158" s="3">
        <v>59</v>
      </c>
      <c r="BD158" s="3">
        <v>22</v>
      </c>
      <c r="BE158" s="3">
        <v>1874</v>
      </c>
      <c r="BF158" s="3">
        <v>27</v>
      </c>
      <c r="BG158" s="3">
        <v>1050</v>
      </c>
      <c r="BH158" s="3">
        <v>17301</v>
      </c>
      <c r="BI158" s="3">
        <v>3</v>
      </c>
      <c r="BJ158" s="3">
        <v>0</v>
      </c>
      <c r="BK158" s="3">
        <v>0</v>
      </c>
      <c r="BL158" s="3">
        <v>0</v>
      </c>
      <c r="BM158" s="3">
        <v>1844</v>
      </c>
      <c r="BN158" s="3">
        <v>86</v>
      </c>
      <c r="BO158" s="3">
        <f t="shared" si="17"/>
        <v>0.726976821543885</v>
      </c>
    </row>
    <row r="159" spans="1:67">
      <c r="A159" s="10"/>
      <c r="B159" s="10"/>
      <c r="C159" s="10"/>
      <c r="D159" s="9" t="s">
        <v>68</v>
      </c>
      <c r="E159" s="3">
        <v>45.3</v>
      </c>
      <c r="F159" s="3">
        <v>227</v>
      </c>
      <c r="H159" s="3">
        <v>7.386</v>
      </c>
      <c r="I159" s="3">
        <v>292.9</v>
      </c>
      <c r="J159" s="3">
        <v>139.9</v>
      </c>
      <c r="K159" s="3">
        <v>3.27</v>
      </c>
      <c r="L159" s="3">
        <v>1.53</v>
      </c>
      <c r="M159" s="3">
        <v>112</v>
      </c>
      <c r="N159" s="3">
        <v>26.3</v>
      </c>
      <c r="O159" s="3">
        <v>107</v>
      </c>
      <c r="P159" s="3">
        <v>88</v>
      </c>
      <c r="Q159" s="3">
        <v>19.6</v>
      </c>
      <c r="R159" s="3">
        <v>99.7</v>
      </c>
      <c r="S159" s="3">
        <v>7.356</v>
      </c>
      <c r="T159" s="3">
        <v>106.8</v>
      </c>
      <c r="U159" s="3">
        <v>139.4</v>
      </c>
      <c r="V159" s="3">
        <v>3.28</v>
      </c>
      <c r="W159" s="3">
        <v>1.55</v>
      </c>
      <c r="X159" s="3">
        <v>112</v>
      </c>
      <c r="Y159" s="3">
        <v>27</v>
      </c>
      <c r="Z159" s="3">
        <v>1.05</v>
      </c>
      <c r="AA159" s="3">
        <v>88</v>
      </c>
      <c r="AB159" s="3">
        <v>20.3</v>
      </c>
      <c r="AC159" s="3">
        <v>97.7</v>
      </c>
      <c r="AD159" s="3">
        <v>50</v>
      </c>
      <c r="AE159" s="3">
        <v>0.67</v>
      </c>
      <c r="AF159" s="3">
        <f t="shared" si="18"/>
        <v>0.0328752712209876</v>
      </c>
      <c r="AG159" s="3">
        <f t="shared" si="19"/>
        <v>2.39886563876651</v>
      </c>
      <c r="AH159" s="3">
        <f t="shared" si="20"/>
        <v>-105.95</v>
      </c>
      <c r="BO159" s="3">
        <f t="shared" si="17"/>
        <v>0</v>
      </c>
    </row>
    <row r="160" spans="1:67">
      <c r="A160" s="10"/>
      <c r="B160" s="10"/>
      <c r="C160" s="10"/>
      <c r="D160" s="9" t="s">
        <v>69</v>
      </c>
      <c r="E160" s="3">
        <v>45.3</v>
      </c>
      <c r="F160" s="3">
        <v>227</v>
      </c>
      <c r="H160" s="3">
        <v>7.42</v>
      </c>
      <c r="I160" s="3">
        <v>300.1</v>
      </c>
      <c r="J160" s="3">
        <v>139.9</v>
      </c>
      <c r="K160" s="3">
        <v>3.37</v>
      </c>
      <c r="L160" s="3">
        <v>1.47</v>
      </c>
      <c r="M160" s="3">
        <v>113</v>
      </c>
      <c r="N160" s="3">
        <v>25.2</v>
      </c>
      <c r="O160" s="3">
        <v>1.71</v>
      </c>
      <c r="P160" s="3">
        <v>89</v>
      </c>
      <c r="Q160" s="3">
        <v>19</v>
      </c>
      <c r="R160" s="3">
        <v>99.7</v>
      </c>
      <c r="S160" s="3">
        <v>7.409</v>
      </c>
      <c r="T160" s="3">
        <v>130.5</v>
      </c>
      <c r="U160" s="3">
        <v>139.9</v>
      </c>
      <c r="V160" s="3">
        <v>3.39</v>
      </c>
      <c r="W160" s="3">
        <v>1.47</v>
      </c>
      <c r="X160" s="3">
        <v>112</v>
      </c>
      <c r="Y160" s="3">
        <v>29.9</v>
      </c>
      <c r="Z160" s="3">
        <v>1.69</v>
      </c>
      <c r="AA160" s="3">
        <v>89</v>
      </c>
      <c r="AB160" s="3">
        <v>18.1</v>
      </c>
      <c r="AC160" s="3">
        <v>98.7</v>
      </c>
      <c r="AD160" s="3">
        <v>49</v>
      </c>
      <c r="AE160" s="3">
        <v>0.65</v>
      </c>
      <c r="AF160" s="3">
        <f t="shared" si="18"/>
        <v>0.0332090816672314</v>
      </c>
      <c r="AG160" s="3">
        <f t="shared" si="19"/>
        <v>1.84697356828195</v>
      </c>
      <c r="AH160" s="3">
        <f t="shared" si="20"/>
        <v>-0.02</v>
      </c>
      <c r="BO160" s="3">
        <f t="shared" si="17"/>
        <v>0</v>
      </c>
    </row>
    <row r="161" spans="1:67">
      <c r="A161" s="10"/>
      <c r="B161" s="10"/>
      <c r="C161" s="10"/>
      <c r="D161" s="43" t="s">
        <v>70</v>
      </c>
      <c r="E161" s="3">
        <v>45.3</v>
      </c>
      <c r="F161" s="3">
        <v>227</v>
      </c>
      <c r="G161" s="3">
        <v>256</v>
      </c>
      <c r="H161" s="3">
        <v>7.452</v>
      </c>
      <c r="I161" s="3">
        <v>307.4</v>
      </c>
      <c r="J161" s="3">
        <v>140.4</v>
      </c>
      <c r="K161" s="3">
        <v>3.58</v>
      </c>
      <c r="L161" s="3">
        <v>1.41</v>
      </c>
      <c r="M161" s="3">
        <v>114</v>
      </c>
      <c r="N161" s="3">
        <v>23.4</v>
      </c>
      <c r="O161" s="3">
        <v>3.08</v>
      </c>
      <c r="P161" s="3">
        <v>90</v>
      </c>
      <c r="Q161" s="3">
        <v>16.3</v>
      </c>
      <c r="R161" s="3">
        <v>99.7</v>
      </c>
      <c r="S161" s="3">
        <v>7.425</v>
      </c>
      <c r="T161" s="3">
        <v>122.4</v>
      </c>
      <c r="U161" s="3">
        <v>140.4</v>
      </c>
      <c r="V161" s="3">
        <v>3.59</v>
      </c>
      <c r="W161" s="3">
        <v>1.4</v>
      </c>
      <c r="X161" s="3">
        <v>114</v>
      </c>
      <c r="Y161" s="3">
        <v>23</v>
      </c>
      <c r="Z161" s="3">
        <v>3.03</v>
      </c>
      <c r="AA161" s="3">
        <v>90</v>
      </c>
      <c r="AB161" s="3">
        <v>16.5</v>
      </c>
      <c r="AC161" s="3">
        <v>98.6</v>
      </c>
      <c r="AD161" s="3">
        <v>47</v>
      </c>
      <c r="AE161" s="3">
        <v>0.53</v>
      </c>
      <c r="AF161" s="3">
        <f t="shared" si="18"/>
        <v>0.0390657468207132</v>
      </c>
      <c r="AG161" s="3">
        <f t="shared" si="19"/>
        <v>1.6487436123348</v>
      </c>
      <c r="AH161" s="3">
        <f t="shared" si="20"/>
        <v>-0.0500000000000003</v>
      </c>
      <c r="AI161" s="4">
        <v>5.54</v>
      </c>
      <c r="AJ161" s="4">
        <v>0.35</v>
      </c>
      <c r="AK161" s="4">
        <v>39.23</v>
      </c>
      <c r="AL161" s="4">
        <v>11.5</v>
      </c>
      <c r="AM161" s="4">
        <v>8.99</v>
      </c>
      <c r="AN161" s="4">
        <v>24.79</v>
      </c>
      <c r="AO161" s="3">
        <v>8</v>
      </c>
      <c r="AP161" s="3">
        <v>93</v>
      </c>
      <c r="AQ161" s="3">
        <v>113</v>
      </c>
      <c r="AR161" s="3">
        <v>220</v>
      </c>
      <c r="AS161" s="3">
        <v>291</v>
      </c>
      <c r="AT161" s="3">
        <v>97</v>
      </c>
      <c r="AU161" s="3">
        <v>4</v>
      </c>
      <c r="AV161" s="3">
        <v>61</v>
      </c>
      <c r="AW161" s="3">
        <v>113</v>
      </c>
      <c r="AX161" s="3">
        <v>932</v>
      </c>
      <c r="AY161" s="3">
        <v>-1624</v>
      </c>
      <c r="AZ161" s="3">
        <v>24</v>
      </c>
      <c r="BA161" s="3">
        <v>27</v>
      </c>
      <c r="BB161" s="3">
        <v>59</v>
      </c>
      <c r="BC161" s="3">
        <v>42</v>
      </c>
      <c r="BD161" s="3">
        <v>17</v>
      </c>
      <c r="BE161" s="3">
        <v>1459</v>
      </c>
      <c r="BF161" s="3">
        <v>28</v>
      </c>
      <c r="BG161" s="3">
        <v>1172</v>
      </c>
      <c r="BH161" s="3">
        <v>7341</v>
      </c>
      <c r="BI161" s="3">
        <v>2</v>
      </c>
      <c r="BJ161" s="3">
        <v>0</v>
      </c>
      <c r="BK161" s="3">
        <v>0</v>
      </c>
      <c r="BL161" s="3">
        <v>0</v>
      </c>
      <c r="BM161" s="3">
        <v>1472</v>
      </c>
      <c r="BN161" s="3">
        <v>88</v>
      </c>
      <c r="BO161" s="3">
        <f t="shared" si="17"/>
        <v>0.565986757007752</v>
      </c>
    </row>
    <row r="162" spans="1:67">
      <c r="A162" s="15"/>
      <c r="B162" s="15"/>
      <c r="C162" s="15"/>
      <c r="D162" s="16" t="s">
        <v>72</v>
      </c>
      <c r="AF162" s="3" t="e">
        <f t="shared" si="18"/>
        <v>#DIV/0!</v>
      </c>
      <c r="AG162" s="3" t="e">
        <f t="shared" si="19"/>
        <v>#DIV/0!</v>
      </c>
      <c r="AH162" s="3">
        <f t="shared" si="20"/>
        <v>0</v>
      </c>
      <c r="BO162" s="3" t="e">
        <f t="shared" si="17"/>
        <v>#DIV/0!</v>
      </c>
    </row>
    <row r="163" spans="1:67">
      <c r="A163" s="8">
        <v>26</v>
      </c>
      <c r="B163" s="8"/>
      <c r="C163" s="8" t="s">
        <v>110</v>
      </c>
      <c r="D163" s="9" t="s">
        <v>66</v>
      </c>
      <c r="E163" s="3">
        <v>50.3</v>
      </c>
      <c r="F163" s="3">
        <v>220</v>
      </c>
      <c r="AF163" s="3" t="e">
        <f t="shared" si="18"/>
        <v>#DIV/0!</v>
      </c>
      <c r="AG163" s="3">
        <f t="shared" si="19"/>
        <v>0</v>
      </c>
      <c r="AH163" s="3">
        <f t="shared" si="20"/>
        <v>0</v>
      </c>
      <c r="BO163" s="3">
        <f t="shared" si="17"/>
        <v>0</v>
      </c>
    </row>
    <row r="164" spans="1:67">
      <c r="A164" s="10"/>
      <c r="B164" s="10"/>
      <c r="C164" s="10"/>
      <c r="D164" s="9" t="s">
        <v>67</v>
      </c>
      <c r="E164" s="3">
        <v>50.3</v>
      </c>
      <c r="F164" s="3">
        <v>220</v>
      </c>
      <c r="H164" s="3">
        <v>7.445</v>
      </c>
      <c r="I164" s="3">
        <v>303.6</v>
      </c>
      <c r="J164" s="3">
        <v>139.8</v>
      </c>
      <c r="K164" s="3">
        <v>4.83</v>
      </c>
      <c r="L164" s="3">
        <v>1.53</v>
      </c>
      <c r="M164" s="3">
        <v>106</v>
      </c>
      <c r="N164" s="3">
        <v>8.5</v>
      </c>
      <c r="O164" s="3">
        <v>1.36</v>
      </c>
      <c r="P164" s="3">
        <v>87</v>
      </c>
      <c r="Q164" s="3">
        <v>22.6</v>
      </c>
      <c r="R164" s="3">
        <v>99.1</v>
      </c>
      <c r="S164" s="3">
        <v>7.416</v>
      </c>
      <c r="T164" s="3">
        <v>58.5</v>
      </c>
      <c r="U164" s="3">
        <v>139.9</v>
      </c>
      <c r="V164" s="3">
        <v>4.81</v>
      </c>
      <c r="W164" s="3">
        <v>1.52</v>
      </c>
      <c r="X164" s="3">
        <v>105</v>
      </c>
      <c r="Y164" s="3">
        <v>8.5</v>
      </c>
      <c r="Z164" s="3">
        <v>1.29</v>
      </c>
      <c r="AA164" s="3">
        <v>88</v>
      </c>
      <c r="AB164" s="3">
        <v>23.1</v>
      </c>
      <c r="AC164" s="3">
        <v>90.9</v>
      </c>
      <c r="AD164" s="3">
        <v>53</v>
      </c>
      <c r="AE164" s="3">
        <v>0.45</v>
      </c>
      <c r="AF164" s="3">
        <f t="shared" si="18"/>
        <v>0.0535353535353535</v>
      </c>
      <c r="AG164" s="3">
        <f t="shared" si="19"/>
        <v>3.26037272727273</v>
      </c>
      <c r="AH164" s="3">
        <f t="shared" si="20"/>
        <v>-0.0700000000000001</v>
      </c>
      <c r="AI164" s="4">
        <v>3.69</v>
      </c>
      <c r="AJ164" s="4">
        <v>0.09</v>
      </c>
      <c r="AK164" s="4">
        <v>40.95</v>
      </c>
      <c r="AL164" s="4">
        <v>7.12</v>
      </c>
      <c r="AM164" s="4">
        <v>4.64</v>
      </c>
      <c r="AN164" s="4">
        <v>82.09</v>
      </c>
      <c r="AO164" s="3">
        <v>-2</v>
      </c>
      <c r="AP164" s="3">
        <v>113</v>
      </c>
      <c r="AQ164" s="3">
        <v>129</v>
      </c>
      <c r="AR164" s="3">
        <v>246</v>
      </c>
      <c r="AS164" s="3">
        <v>250</v>
      </c>
      <c r="AT164" s="3">
        <v>95</v>
      </c>
      <c r="AU164" s="3">
        <v>-4</v>
      </c>
      <c r="AV164" s="3">
        <v>50</v>
      </c>
      <c r="AW164" s="3">
        <v>161</v>
      </c>
      <c r="AX164" s="3">
        <v>921</v>
      </c>
      <c r="AY164" s="3">
        <v>-1520</v>
      </c>
      <c r="AZ164" s="3">
        <v>30</v>
      </c>
      <c r="BA164" s="3">
        <v>16</v>
      </c>
      <c r="BB164" s="3">
        <v>128</v>
      </c>
      <c r="BC164" s="3">
        <v>77</v>
      </c>
      <c r="BD164" s="3">
        <v>52</v>
      </c>
      <c r="BE164" s="3">
        <v>4389</v>
      </c>
      <c r="BF164" s="3">
        <v>40</v>
      </c>
      <c r="BG164" s="3">
        <v>3398</v>
      </c>
      <c r="BH164" s="3">
        <v>13856</v>
      </c>
      <c r="BI164" s="3">
        <v>1</v>
      </c>
      <c r="BJ164" s="3">
        <v>0</v>
      </c>
      <c r="BK164" s="3">
        <v>0</v>
      </c>
      <c r="BL164" s="3">
        <v>0</v>
      </c>
      <c r="BM164" s="3">
        <v>3984</v>
      </c>
      <c r="BN164" s="3">
        <v>85</v>
      </c>
      <c r="BO164" s="3">
        <f t="shared" si="17"/>
        <v>1.73796186316709</v>
      </c>
    </row>
    <row r="165" spans="1:67">
      <c r="A165" s="10"/>
      <c r="B165" s="10"/>
      <c r="C165" s="10"/>
      <c r="D165" s="9" t="s">
        <v>68</v>
      </c>
      <c r="E165" s="3">
        <v>50.3</v>
      </c>
      <c r="F165" s="3">
        <v>220</v>
      </c>
      <c r="H165" s="3">
        <v>7.409</v>
      </c>
      <c r="I165" s="3">
        <v>323.6</v>
      </c>
      <c r="J165" s="3">
        <v>141.6</v>
      </c>
      <c r="K165" s="3">
        <v>4.81</v>
      </c>
      <c r="L165" s="3">
        <v>1.47</v>
      </c>
      <c r="M165" s="3">
        <v>106</v>
      </c>
      <c r="N165" s="3">
        <v>8.2</v>
      </c>
      <c r="O165" s="3">
        <v>2.16</v>
      </c>
      <c r="P165" s="3">
        <v>93</v>
      </c>
      <c r="Q165" s="3">
        <v>23.2</v>
      </c>
      <c r="R165" s="3">
        <v>99.7</v>
      </c>
      <c r="S165" s="3">
        <v>7.403</v>
      </c>
      <c r="T165" s="3">
        <v>85.7</v>
      </c>
      <c r="U165" s="3">
        <v>141.4</v>
      </c>
      <c r="V165" s="3">
        <v>4.82</v>
      </c>
      <c r="W165" s="3">
        <v>1.47</v>
      </c>
      <c r="X165" s="3">
        <v>106</v>
      </c>
      <c r="Y165" s="3">
        <v>8</v>
      </c>
      <c r="Z165" s="3">
        <v>2.07</v>
      </c>
      <c r="AA165" s="3">
        <v>93</v>
      </c>
      <c r="AB165" s="3">
        <v>22.7</v>
      </c>
      <c r="AC165" s="3">
        <v>96.6</v>
      </c>
      <c r="AD165" s="3">
        <v>56</v>
      </c>
      <c r="AE165" s="3">
        <v>0.57</v>
      </c>
      <c r="AF165" s="3">
        <f t="shared" si="18"/>
        <v>0.0446570972886762</v>
      </c>
      <c r="AG165" s="3">
        <f t="shared" si="19"/>
        <v>2.91169472727272</v>
      </c>
      <c r="AH165" s="3">
        <f t="shared" si="20"/>
        <v>-0.0900000000000003</v>
      </c>
      <c r="BO165" s="3">
        <f t="shared" si="17"/>
        <v>0</v>
      </c>
    </row>
    <row r="166" spans="1:67">
      <c r="A166" s="10"/>
      <c r="B166" s="10"/>
      <c r="C166" s="10"/>
      <c r="D166" s="9" t="s">
        <v>69</v>
      </c>
      <c r="E166" s="3">
        <v>50.3</v>
      </c>
      <c r="F166" s="3">
        <v>220</v>
      </c>
      <c r="H166" s="3">
        <v>7.427</v>
      </c>
      <c r="I166" s="3">
        <v>323.7</v>
      </c>
      <c r="J166" s="3">
        <v>142.2</v>
      </c>
      <c r="K166" s="3">
        <v>5.15</v>
      </c>
      <c r="L166" s="3">
        <v>1.41</v>
      </c>
      <c r="M166" s="3">
        <v>107</v>
      </c>
      <c r="N166" s="3">
        <v>8.2</v>
      </c>
      <c r="O166" s="3">
        <v>2.2</v>
      </c>
      <c r="P166" s="3">
        <v>94</v>
      </c>
      <c r="Q166" s="3">
        <v>23.1</v>
      </c>
      <c r="R166" s="3">
        <v>99.7</v>
      </c>
      <c r="S166" s="3">
        <v>7.415</v>
      </c>
      <c r="T166" s="3">
        <v>78.3</v>
      </c>
      <c r="U166" s="3">
        <v>142.2</v>
      </c>
      <c r="V166" s="3">
        <v>5.14</v>
      </c>
      <c r="W166" s="3">
        <v>1.43</v>
      </c>
      <c r="X166" s="3">
        <v>107</v>
      </c>
      <c r="Y166" s="3">
        <v>7.8</v>
      </c>
      <c r="Z166" s="3">
        <v>2.11</v>
      </c>
      <c r="AA166" s="3">
        <v>92</v>
      </c>
      <c r="AB166" s="3">
        <v>21.8</v>
      </c>
      <c r="AC166" s="3">
        <v>95.9</v>
      </c>
      <c r="AD166" s="3">
        <v>57</v>
      </c>
      <c r="AE166" s="3">
        <v>0.54</v>
      </c>
      <c r="AF166" s="3">
        <f t="shared" si="18"/>
        <v>0.047979797979798</v>
      </c>
      <c r="AG166" s="3">
        <f t="shared" si="19"/>
        <v>3.67298181818182</v>
      </c>
      <c r="AH166" s="3">
        <f t="shared" si="20"/>
        <v>-0.0900000000000003</v>
      </c>
      <c r="BO166" s="3">
        <f t="shared" si="17"/>
        <v>0</v>
      </c>
    </row>
    <row r="167" spans="1:67">
      <c r="A167" s="10"/>
      <c r="B167" s="10"/>
      <c r="C167" s="10"/>
      <c r="D167" s="43" t="s">
        <v>70</v>
      </c>
      <c r="E167" s="3">
        <v>50.3</v>
      </c>
      <c r="F167" s="3">
        <v>220</v>
      </c>
      <c r="G167" s="3">
        <v>266</v>
      </c>
      <c r="H167" s="3">
        <v>7.37</v>
      </c>
      <c r="I167" s="3">
        <v>317.7</v>
      </c>
      <c r="J167" s="3">
        <v>142.1</v>
      </c>
      <c r="K167" s="3">
        <v>5.27</v>
      </c>
      <c r="L167" s="3">
        <v>1.39</v>
      </c>
      <c r="M167" s="3">
        <v>107</v>
      </c>
      <c r="N167" s="3">
        <v>9.4</v>
      </c>
      <c r="O167" s="3">
        <v>2.06</v>
      </c>
      <c r="P167" s="3">
        <v>92</v>
      </c>
      <c r="Q167" s="3">
        <v>23.7</v>
      </c>
      <c r="R167" s="3">
        <v>99.7</v>
      </c>
      <c r="S167" s="3">
        <v>7.356</v>
      </c>
      <c r="T167" s="3">
        <v>95.8</v>
      </c>
      <c r="U167" s="3">
        <v>142</v>
      </c>
      <c r="V167" s="3">
        <v>5.26</v>
      </c>
      <c r="W167" s="3">
        <v>1.4</v>
      </c>
      <c r="X167" s="3">
        <v>107</v>
      </c>
      <c r="Y167" s="3">
        <v>92</v>
      </c>
      <c r="Z167" s="3">
        <v>2</v>
      </c>
      <c r="AA167" s="3">
        <v>92</v>
      </c>
      <c r="AB167" s="3">
        <v>23</v>
      </c>
      <c r="AC167" s="3">
        <v>97</v>
      </c>
      <c r="AD167" s="3">
        <v>59</v>
      </c>
      <c r="AE167" s="3">
        <v>0.74</v>
      </c>
      <c r="AF167" s="3">
        <f t="shared" si="18"/>
        <v>0.0362407862407862</v>
      </c>
      <c r="AG167" s="3">
        <f t="shared" si="19"/>
        <v>3.43341836363637</v>
      </c>
      <c r="AH167" s="3">
        <f t="shared" si="20"/>
        <v>-0.0600000000000001</v>
      </c>
      <c r="AI167" s="4">
        <v>12.49</v>
      </c>
      <c r="AJ167" s="4">
        <v>1.34</v>
      </c>
      <c r="AK167" s="4">
        <v>17.95</v>
      </c>
      <c r="AL167" s="4">
        <v>58.66</v>
      </c>
      <c r="AM167" s="4">
        <v>26.55</v>
      </c>
      <c r="AN167" s="4">
        <v>5.88</v>
      </c>
      <c r="AO167" s="3">
        <v>3</v>
      </c>
      <c r="AP167" s="3">
        <v>91</v>
      </c>
      <c r="AQ167" s="3">
        <v>107</v>
      </c>
      <c r="AR167" s="3">
        <v>228</v>
      </c>
      <c r="AS167" s="3">
        <v>211</v>
      </c>
      <c r="AT167" s="3">
        <v>87</v>
      </c>
      <c r="AU167" s="3">
        <v>1</v>
      </c>
      <c r="AV167" s="3">
        <v>42</v>
      </c>
      <c r="AW167" s="3">
        <v>123</v>
      </c>
      <c r="AX167" s="3">
        <v>1079</v>
      </c>
      <c r="AY167" s="3">
        <v>-1289</v>
      </c>
      <c r="AZ167" s="3">
        <v>39</v>
      </c>
      <c r="BA167" s="3">
        <v>13</v>
      </c>
      <c r="BB167" s="3">
        <v>14</v>
      </c>
      <c r="BC167" s="3">
        <v>14</v>
      </c>
      <c r="BD167" s="3">
        <v>7</v>
      </c>
      <c r="BE167" s="3">
        <v>661</v>
      </c>
      <c r="BF167" s="3">
        <v>38</v>
      </c>
      <c r="BG167" s="3">
        <v>374</v>
      </c>
      <c r="BH167" s="3">
        <v>6547</v>
      </c>
      <c r="BI167" s="3">
        <v>33</v>
      </c>
      <c r="BJ167" s="3">
        <v>0</v>
      </c>
      <c r="BK167" s="3">
        <v>0</v>
      </c>
      <c r="BL167" s="3">
        <v>0</v>
      </c>
      <c r="BM167" s="3">
        <v>0</v>
      </c>
      <c r="BN167" s="3">
        <v>100</v>
      </c>
      <c r="BO167" s="3">
        <f t="shared" si="17"/>
        <v>0.261743629882307</v>
      </c>
    </row>
    <row r="168" spans="1:67">
      <c r="A168" s="15"/>
      <c r="B168" s="15"/>
      <c r="C168" s="15"/>
      <c r="D168" s="16" t="s">
        <v>72</v>
      </c>
      <c r="AF168" s="3" t="e">
        <f t="shared" si="18"/>
        <v>#DIV/0!</v>
      </c>
      <c r="AG168" s="3" t="e">
        <f t="shared" si="19"/>
        <v>#DIV/0!</v>
      </c>
      <c r="AH168" s="3">
        <f t="shared" si="20"/>
        <v>0</v>
      </c>
      <c r="BO168" s="3" t="e">
        <f t="shared" si="17"/>
        <v>#DIV/0!</v>
      </c>
    </row>
    <row r="169" spans="1:67">
      <c r="A169" s="8">
        <v>27</v>
      </c>
      <c r="B169" s="8"/>
      <c r="C169" s="8" t="s">
        <v>111</v>
      </c>
      <c r="D169" s="9" t="s">
        <v>66</v>
      </c>
      <c r="E169" s="3">
        <v>46.8</v>
      </c>
      <c r="F169" s="3">
        <v>300</v>
      </c>
      <c r="AF169" s="3" t="e">
        <f t="shared" si="18"/>
        <v>#DIV/0!</v>
      </c>
      <c r="AG169" s="3">
        <f t="shared" si="19"/>
        <v>0</v>
      </c>
      <c r="AH169" s="3">
        <f t="shared" si="20"/>
        <v>0</v>
      </c>
      <c r="BO169" s="3">
        <f t="shared" si="17"/>
        <v>0</v>
      </c>
    </row>
    <row r="170" spans="1:67">
      <c r="A170" s="10"/>
      <c r="B170" s="10"/>
      <c r="C170" s="10"/>
      <c r="D170" s="9" t="s">
        <v>67</v>
      </c>
      <c r="E170" s="3">
        <v>46.8</v>
      </c>
      <c r="F170" s="3">
        <v>300</v>
      </c>
      <c r="H170" s="3">
        <v>7.336</v>
      </c>
      <c r="I170" s="3">
        <v>298</v>
      </c>
      <c r="J170" s="3">
        <v>133.5</v>
      </c>
      <c r="K170" s="3">
        <v>4.95</v>
      </c>
      <c r="L170" s="3">
        <v>1.26</v>
      </c>
      <c r="M170" s="3">
        <v>109</v>
      </c>
      <c r="N170" s="3">
        <v>12</v>
      </c>
      <c r="O170" s="3">
        <v>0.82</v>
      </c>
      <c r="P170" s="3">
        <v>82</v>
      </c>
      <c r="Q170" s="3">
        <v>20.2</v>
      </c>
      <c r="R170" s="3">
        <v>99.7</v>
      </c>
      <c r="S170" s="3">
        <v>7.305</v>
      </c>
      <c r="T170" s="3">
        <v>86.8</v>
      </c>
      <c r="U170" s="3">
        <v>133.4</v>
      </c>
      <c r="V170" s="3">
        <v>4.79</v>
      </c>
      <c r="W170" s="3">
        <v>1.29</v>
      </c>
      <c r="X170" s="3">
        <v>108</v>
      </c>
      <c r="Y170" s="3">
        <v>11.8</v>
      </c>
      <c r="Z170" s="3">
        <v>0.54</v>
      </c>
      <c r="AA170" s="3">
        <v>83</v>
      </c>
      <c r="AB170" s="3">
        <v>19.1</v>
      </c>
      <c r="AC170" s="3">
        <v>95.8</v>
      </c>
      <c r="AD170" s="3">
        <v>44</v>
      </c>
      <c r="AE170" s="3">
        <v>0.9</v>
      </c>
      <c r="AF170" s="3">
        <f t="shared" si="18"/>
        <v>0.0162962962962963</v>
      </c>
      <c r="AG170" s="3">
        <f t="shared" si="19"/>
        <v>2.86464</v>
      </c>
      <c r="AH170" s="3">
        <f t="shared" si="20"/>
        <v>-0.28</v>
      </c>
      <c r="AI170" s="4">
        <v>6.11</v>
      </c>
      <c r="AJ170" s="4">
        <v>0.13</v>
      </c>
      <c r="AK170" s="4">
        <v>43.92</v>
      </c>
      <c r="AL170" s="4">
        <v>19.5</v>
      </c>
      <c r="AM170" s="4">
        <v>7.85</v>
      </c>
      <c r="AN170" s="4">
        <v>20.17</v>
      </c>
      <c r="AO170" s="3">
        <v>-2</v>
      </c>
      <c r="AP170" s="3">
        <v>93</v>
      </c>
      <c r="AQ170" s="3">
        <v>100</v>
      </c>
      <c r="AR170" s="3">
        <v>167</v>
      </c>
      <c r="AS170" s="3">
        <v>254</v>
      </c>
      <c r="AT170" s="3">
        <v>76</v>
      </c>
      <c r="AU170" s="3">
        <v>-2</v>
      </c>
      <c r="AV170" s="3">
        <v>35</v>
      </c>
      <c r="AW170" s="3">
        <v>148</v>
      </c>
      <c r="AX170" s="3">
        <v>1571</v>
      </c>
      <c r="AY170" s="3">
        <v>-1193</v>
      </c>
      <c r="AZ170" s="3">
        <v>58</v>
      </c>
      <c r="BA170" s="3">
        <v>16</v>
      </c>
      <c r="BB170" s="3">
        <v>54</v>
      </c>
      <c r="BC170" s="3">
        <v>34</v>
      </c>
      <c r="BD170" s="3">
        <v>23</v>
      </c>
      <c r="BE170" s="3">
        <v>2240</v>
      </c>
      <c r="BF170" s="3">
        <v>40</v>
      </c>
      <c r="BG170" s="3">
        <v>1023</v>
      </c>
      <c r="BH170" s="3">
        <v>3435</v>
      </c>
      <c r="BI170" s="3">
        <v>1</v>
      </c>
      <c r="BJ170" s="3">
        <v>0</v>
      </c>
      <c r="BK170" s="3">
        <v>0</v>
      </c>
      <c r="BL170" s="3">
        <v>0</v>
      </c>
      <c r="BM170" s="3">
        <v>1122</v>
      </c>
      <c r="BN170" s="3">
        <v>99</v>
      </c>
      <c r="BO170" s="3">
        <f t="shared" si="17"/>
        <v>0.723703070639708</v>
      </c>
    </row>
    <row r="171" spans="1:67">
      <c r="A171" s="10"/>
      <c r="B171" s="10"/>
      <c r="C171" s="10"/>
      <c r="D171" s="9" t="s">
        <v>68</v>
      </c>
      <c r="E171" s="3">
        <v>46.8</v>
      </c>
      <c r="F171" s="3">
        <v>300</v>
      </c>
      <c r="H171" s="3">
        <v>7.454</v>
      </c>
      <c r="I171" s="3">
        <v>300.5</v>
      </c>
      <c r="J171" s="3">
        <v>135.9</v>
      </c>
      <c r="K171" s="3">
        <v>4.99</v>
      </c>
      <c r="L171" s="3">
        <v>1.27</v>
      </c>
      <c r="M171" s="3">
        <v>113</v>
      </c>
      <c r="N171" s="3">
        <v>9.4</v>
      </c>
      <c r="O171" s="3">
        <v>0.95</v>
      </c>
      <c r="P171" s="3">
        <v>82</v>
      </c>
      <c r="Q171" s="3">
        <v>18.1</v>
      </c>
      <c r="R171" s="3">
        <v>99.7</v>
      </c>
      <c r="S171" s="3">
        <v>7.429</v>
      </c>
      <c r="T171" s="3">
        <v>112.8</v>
      </c>
      <c r="U171" s="3">
        <v>136</v>
      </c>
      <c r="V171" s="3">
        <v>4.98</v>
      </c>
      <c r="W171" s="3">
        <v>1.28</v>
      </c>
      <c r="X171" s="3">
        <v>112</v>
      </c>
      <c r="Y171" s="3">
        <v>9.2</v>
      </c>
      <c r="Z171" s="3">
        <v>0.92</v>
      </c>
      <c r="AA171" s="3">
        <v>82</v>
      </c>
      <c r="AB171" s="3">
        <v>18.7</v>
      </c>
      <c r="AC171" s="3">
        <v>98.3</v>
      </c>
      <c r="AD171" s="3">
        <v>55</v>
      </c>
      <c r="AE171" s="3">
        <v>1.15</v>
      </c>
      <c r="AF171" s="3">
        <f t="shared" si="18"/>
        <v>0.0159420289855072</v>
      </c>
      <c r="AG171" s="3">
        <f t="shared" si="19"/>
        <v>2.82019100000001</v>
      </c>
      <c r="AH171" s="3">
        <f t="shared" si="20"/>
        <v>-0.0299999999999999</v>
      </c>
      <c r="BO171" s="3">
        <f t="shared" si="17"/>
        <v>0</v>
      </c>
    </row>
    <row r="172" spans="1:67">
      <c r="A172" s="10"/>
      <c r="B172" s="10"/>
      <c r="C172" s="10"/>
      <c r="D172" s="9" t="s">
        <v>69</v>
      </c>
      <c r="E172" s="3">
        <v>46.8</v>
      </c>
      <c r="F172" s="3">
        <v>300</v>
      </c>
      <c r="H172" s="3">
        <v>7.35</v>
      </c>
      <c r="I172" s="3">
        <v>116.8</v>
      </c>
      <c r="J172" s="3">
        <v>138.8</v>
      </c>
      <c r="K172" s="3">
        <v>5.12</v>
      </c>
      <c r="L172" s="3">
        <v>1.28</v>
      </c>
      <c r="M172" s="3">
        <v>115</v>
      </c>
      <c r="N172" s="3">
        <v>7</v>
      </c>
      <c r="O172" s="3">
        <v>0.85</v>
      </c>
      <c r="P172" s="3">
        <v>83</v>
      </c>
      <c r="Q172" s="3">
        <v>18.8</v>
      </c>
      <c r="R172" s="3">
        <v>98.1</v>
      </c>
      <c r="S172" s="3">
        <v>7.333</v>
      </c>
      <c r="T172" s="3">
        <v>74.3</v>
      </c>
      <c r="U172" s="3">
        <v>139</v>
      </c>
      <c r="V172" s="3">
        <v>5.12</v>
      </c>
      <c r="W172" s="3">
        <v>1.28</v>
      </c>
      <c r="X172" s="3">
        <v>114</v>
      </c>
      <c r="Y172" s="3">
        <v>7.1</v>
      </c>
      <c r="Z172" s="3">
        <v>0.79</v>
      </c>
      <c r="AA172" s="3">
        <v>83</v>
      </c>
      <c r="AB172" s="3">
        <v>19.4</v>
      </c>
      <c r="AC172" s="3">
        <v>94.1</v>
      </c>
      <c r="AD172" s="3">
        <v>66</v>
      </c>
      <c r="AE172" s="3">
        <v>0.98</v>
      </c>
      <c r="AF172" s="3">
        <f t="shared" si="18"/>
        <v>0.0224489795918367</v>
      </c>
      <c r="AG172" s="3">
        <f t="shared" si="19"/>
        <v>1.883658</v>
      </c>
      <c r="AH172" s="3">
        <f t="shared" si="20"/>
        <v>-0.0599999999999999</v>
      </c>
      <c r="BO172" s="3">
        <f t="shared" si="17"/>
        <v>0</v>
      </c>
    </row>
    <row r="173" spans="1:67">
      <c r="A173" s="10"/>
      <c r="B173" s="10"/>
      <c r="C173" s="10"/>
      <c r="D173" s="43" t="s">
        <v>70</v>
      </c>
      <c r="E173" s="3">
        <v>46.8</v>
      </c>
      <c r="F173" s="3">
        <v>300</v>
      </c>
      <c r="G173" s="3">
        <v>341</v>
      </c>
      <c r="H173" s="3">
        <v>7.312</v>
      </c>
      <c r="I173" s="3">
        <v>181.7</v>
      </c>
      <c r="J173" s="3">
        <v>142.2</v>
      </c>
      <c r="K173" s="3">
        <v>5.26</v>
      </c>
      <c r="L173" s="3">
        <v>1.26</v>
      </c>
      <c r="M173" s="3">
        <v>116</v>
      </c>
      <c r="N173" s="3">
        <v>5.6</v>
      </c>
      <c r="O173" s="3">
        <v>0.87</v>
      </c>
      <c r="P173" s="3">
        <v>85</v>
      </c>
      <c r="Q173" s="3">
        <v>19.6</v>
      </c>
      <c r="R173" s="3">
        <v>99.1</v>
      </c>
      <c r="S173" s="3">
        <v>7.305</v>
      </c>
      <c r="T173" s="3">
        <v>91.4</v>
      </c>
      <c r="U173" s="3">
        <v>142.2</v>
      </c>
      <c r="V173" s="3">
        <v>5.25</v>
      </c>
      <c r="W173" s="3">
        <v>1.25</v>
      </c>
      <c r="X173" s="3">
        <v>116</v>
      </c>
      <c r="Y173" s="3">
        <v>5.5</v>
      </c>
      <c r="Z173" s="3">
        <v>0.85</v>
      </c>
      <c r="AA173" s="3">
        <v>85</v>
      </c>
      <c r="AB173" s="3">
        <v>19.1</v>
      </c>
      <c r="AC173" s="3">
        <v>96.3</v>
      </c>
      <c r="AD173" s="3">
        <v>50</v>
      </c>
      <c r="AE173" s="3">
        <v>1.07</v>
      </c>
      <c r="AF173" s="3">
        <f t="shared" si="18"/>
        <v>0.0155763239875389</v>
      </c>
      <c r="AG173" s="3">
        <f t="shared" si="19"/>
        <v>2.13589833333333</v>
      </c>
      <c r="AH173" s="3">
        <f t="shared" si="20"/>
        <v>-0.02</v>
      </c>
      <c r="AI173" s="4">
        <v>2.35</v>
      </c>
      <c r="AJ173" s="4">
        <v>0.1</v>
      </c>
      <c r="AK173" s="4">
        <v>27.75</v>
      </c>
      <c r="AL173" s="4">
        <v>-0.18</v>
      </c>
      <c r="AM173" s="4">
        <v>3.28</v>
      </c>
      <c r="AN173" s="4">
        <v>27.29</v>
      </c>
      <c r="AO173" s="3">
        <v>0</v>
      </c>
      <c r="AP173" s="3">
        <v>86</v>
      </c>
      <c r="AQ173" s="3">
        <v>104</v>
      </c>
      <c r="AR173" s="3">
        <v>211</v>
      </c>
      <c r="AS173" s="3">
        <v>247</v>
      </c>
      <c r="AT173" s="3">
        <v>79</v>
      </c>
      <c r="AU173" s="3">
        <v>-2</v>
      </c>
      <c r="AV173" s="3">
        <v>33</v>
      </c>
      <c r="AW173" s="3">
        <v>140</v>
      </c>
      <c r="AX173" s="3">
        <v>1085</v>
      </c>
      <c r="AY173" s="3">
        <v>-1190</v>
      </c>
      <c r="AZ173" s="3">
        <v>54</v>
      </c>
      <c r="BA173" s="3">
        <v>15</v>
      </c>
      <c r="BB173" s="3">
        <v>79</v>
      </c>
      <c r="BC173" s="3">
        <v>59</v>
      </c>
      <c r="BD173" s="3">
        <v>20</v>
      </c>
      <c r="BE173" s="3">
        <v>1910</v>
      </c>
      <c r="BF173" s="3">
        <v>25</v>
      </c>
      <c r="BG173" s="3">
        <v>904</v>
      </c>
      <c r="BH173" s="3">
        <v>7427</v>
      </c>
      <c r="BI173" s="3">
        <v>1</v>
      </c>
      <c r="BJ173" s="3">
        <v>0</v>
      </c>
      <c r="BK173" s="3">
        <v>0</v>
      </c>
      <c r="BL173" s="3">
        <v>0</v>
      </c>
      <c r="BM173" s="3">
        <v>985</v>
      </c>
      <c r="BN173" s="3">
        <v>95</v>
      </c>
      <c r="BO173" s="3">
        <f t="shared" si="17"/>
        <v>0.617086100411536</v>
      </c>
    </row>
    <row r="174" spans="1:67">
      <c r="A174" s="15"/>
      <c r="B174" s="15"/>
      <c r="C174" s="15"/>
      <c r="D174" s="16" t="s">
        <v>72</v>
      </c>
      <c r="AF174" s="3" t="e">
        <f t="shared" si="18"/>
        <v>#DIV/0!</v>
      </c>
      <c r="AG174" s="3" t="e">
        <f t="shared" si="19"/>
        <v>#DIV/0!</v>
      </c>
      <c r="AH174" s="3">
        <f t="shared" si="20"/>
        <v>0</v>
      </c>
      <c r="BO174" s="3" t="e">
        <f t="shared" si="17"/>
        <v>#DIV/0!</v>
      </c>
    </row>
    <row r="175" spans="1:67">
      <c r="A175" s="8">
        <v>28</v>
      </c>
      <c r="B175" s="8"/>
      <c r="C175" s="8" t="s">
        <v>112</v>
      </c>
      <c r="D175" s="9" t="s">
        <v>66</v>
      </c>
      <c r="E175" s="3">
        <v>58.5</v>
      </c>
      <c r="F175" s="3">
        <v>228</v>
      </c>
      <c r="AF175" s="3" t="e">
        <f t="shared" si="18"/>
        <v>#DIV/0!</v>
      </c>
      <c r="AG175" s="3">
        <f t="shared" si="19"/>
        <v>0</v>
      </c>
      <c r="AH175" s="3">
        <f t="shared" si="20"/>
        <v>0</v>
      </c>
      <c r="BO175" s="3">
        <f t="shared" si="17"/>
        <v>0</v>
      </c>
    </row>
    <row r="176" spans="1:67">
      <c r="A176" s="10"/>
      <c r="B176" s="10"/>
      <c r="C176" s="10"/>
      <c r="D176" s="9" t="s">
        <v>67</v>
      </c>
      <c r="E176" s="3">
        <v>58.5</v>
      </c>
      <c r="F176" s="3">
        <v>228</v>
      </c>
      <c r="H176" s="3">
        <v>7.44</v>
      </c>
      <c r="I176" s="3">
        <v>309.7</v>
      </c>
      <c r="J176" s="3">
        <v>137.1</v>
      </c>
      <c r="K176" s="3">
        <v>2.71</v>
      </c>
      <c r="L176" s="3">
        <v>1.46</v>
      </c>
      <c r="M176" s="3">
        <v>110</v>
      </c>
      <c r="N176" s="3">
        <v>14.8</v>
      </c>
      <c r="O176" s="3">
        <v>1.49</v>
      </c>
      <c r="P176" s="3">
        <v>93</v>
      </c>
      <c r="Q176" s="3">
        <v>20.9</v>
      </c>
      <c r="R176" s="3">
        <v>99.7</v>
      </c>
      <c r="S176" s="3">
        <v>7.427</v>
      </c>
      <c r="T176" s="3">
        <v>53.6</v>
      </c>
      <c r="U176" s="3">
        <v>137.9</v>
      </c>
      <c r="V176" s="3">
        <v>2.75</v>
      </c>
      <c r="W176" s="3">
        <v>1.48</v>
      </c>
      <c r="X176" s="3">
        <v>110</v>
      </c>
      <c r="Y176" s="3">
        <v>14.1</v>
      </c>
      <c r="Z176" s="3">
        <v>1.26</v>
      </c>
      <c r="AA176" s="3">
        <v>93</v>
      </c>
      <c r="AB176" s="3">
        <v>20.4</v>
      </c>
      <c r="AC176" s="3">
        <v>89.1</v>
      </c>
      <c r="AD176" s="3">
        <v>52</v>
      </c>
      <c r="AE176" s="3">
        <v>0.33</v>
      </c>
      <c r="AF176" s="3">
        <f t="shared" si="18"/>
        <v>0.0691121743753323</v>
      </c>
      <c r="AG176" s="3">
        <f t="shared" si="19"/>
        <v>3.06101342105263</v>
      </c>
      <c r="AH176" s="3">
        <f t="shared" si="20"/>
        <v>-0.23</v>
      </c>
      <c r="AI176" s="4">
        <v>12.04</v>
      </c>
      <c r="AJ176" s="4">
        <v>0.07</v>
      </c>
      <c r="AK176" s="4">
        <v>71.22</v>
      </c>
      <c r="AL176" s="4">
        <v>48.92</v>
      </c>
      <c r="AM176" s="4">
        <v>20.86</v>
      </c>
      <c r="AN176" s="4">
        <v>-2.26</v>
      </c>
      <c r="AO176" s="3">
        <v>1</v>
      </c>
      <c r="AP176" s="3">
        <v>127</v>
      </c>
      <c r="AQ176" s="3">
        <v>137</v>
      </c>
      <c r="AR176" s="3">
        <v>157</v>
      </c>
      <c r="AS176" s="3">
        <v>286</v>
      </c>
      <c r="AT176" s="3">
        <v>108</v>
      </c>
      <c r="AU176" s="3">
        <v>0</v>
      </c>
      <c r="AV176" s="3">
        <v>41</v>
      </c>
      <c r="AW176" s="3">
        <v>130</v>
      </c>
      <c r="AX176" s="3">
        <v>1901</v>
      </c>
      <c r="AY176" s="3">
        <v>-2198</v>
      </c>
      <c r="AZ176" s="3">
        <v>48</v>
      </c>
      <c r="BA176" s="3">
        <v>13</v>
      </c>
      <c r="BB176" s="3">
        <v>26</v>
      </c>
      <c r="BC176" s="3">
        <v>11</v>
      </c>
      <c r="BD176" s="3">
        <v>15</v>
      </c>
      <c r="BE176" s="3">
        <v>1468</v>
      </c>
      <c r="BF176" s="3">
        <v>57</v>
      </c>
      <c r="BG176" s="3">
        <v>1191</v>
      </c>
      <c r="BH176" s="3">
        <v>4403</v>
      </c>
      <c r="BI176" s="3">
        <v>6</v>
      </c>
      <c r="BJ176" s="3">
        <v>0</v>
      </c>
      <c r="BK176" s="3">
        <v>0</v>
      </c>
      <c r="BL176" s="3">
        <v>0</v>
      </c>
      <c r="BM176" s="3">
        <v>1353</v>
      </c>
      <c r="BN176" s="3">
        <v>98</v>
      </c>
      <c r="BO176" s="3">
        <f t="shared" si="17"/>
        <v>0.567838370894264</v>
      </c>
    </row>
    <row r="177" spans="1:67">
      <c r="A177" s="10"/>
      <c r="B177" s="10"/>
      <c r="C177" s="10"/>
      <c r="D177" s="9" t="s">
        <v>68</v>
      </c>
      <c r="E177" s="3">
        <v>58.5</v>
      </c>
      <c r="F177" s="3">
        <v>228</v>
      </c>
      <c r="H177" s="3">
        <v>7.388</v>
      </c>
      <c r="I177" s="3">
        <v>301.5</v>
      </c>
      <c r="J177" s="3">
        <v>139.1</v>
      </c>
      <c r="K177" s="3">
        <v>2.55</v>
      </c>
      <c r="L177" s="3">
        <v>1.44</v>
      </c>
      <c r="M177" s="3">
        <v>111</v>
      </c>
      <c r="N177" s="3">
        <v>12.8</v>
      </c>
      <c r="O177" s="3">
        <v>0.88</v>
      </c>
      <c r="P177" s="3">
        <v>95</v>
      </c>
      <c r="Q177" s="3">
        <v>22.1</v>
      </c>
      <c r="R177" s="3">
        <v>99.7</v>
      </c>
      <c r="S177" s="3">
        <v>7.369</v>
      </c>
      <c r="T177" s="3">
        <v>83.7</v>
      </c>
      <c r="U177" s="3">
        <v>139.5</v>
      </c>
      <c r="V177" s="3">
        <v>2.59</v>
      </c>
      <c r="W177" s="3">
        <v>1.43</v>
      </c>
      <c r="X177" s="3">
        <v>111</v>
      </c>
      <c r="Y177" s="3">
        <v>12.6</v>
      </c>
      <c r="Z177" s="3">
        <v>0.83</v>
      </c>
      <c r="AA177" s="3">
        <v>94</v>
      </c>
      <c r="AB177" s="3">
        <v>22.5</v>
      </c>
      <c r="AC177" s="3">
        <v>96</v>
      </c>
      <c r="AD177" s="3">
        <v>56</v>
      </c>
      <c r="AE177" s="3">
        <v>0.53</v>
      </c>
      <c r="AF177" s="3">
        <f t="shared" si="18"/>
        <v>0.0463422707712678</v>
      </c>
      <c r="AG177" s="3">
        <f t="shared" si="19"/>
        <v>2.96342061403509</v>
      </c>
      <c r="AH177" s="3">
        <f t="shared" si="20"/>
        <v>-0.05</v>
      </c>
      <c r="BO177" s="3">
        <f t="shared" si="17"/>
        <v>0</v>
      </c>
    </row>
    <row r="178" spans="1:67">
      <c r="A178" s="10"/>
      <c r="B178" s="10"/>
      <c r="C178" s="10"/>
      <c r="D178" s="9" t="s">
        <v>69</v>
      </c>
      <c r="E178" s="3">
        <v>58.5</v>
      </c>
      <c r="F178" s="3">
        <v>228</v>
      </c>
      <c r="H178" s="3">
        <v>7.434</v>
      </c>
      <c r="I178" s="3">
        <v>277.7</v>
      </c>
      <c r="J178" s="3">
        <v>140.9</v>
      </c>
      <c r="K178" s="3">
        <v>2.34</v>
      </c>
      <c r="L178" s="3">
        <v>1.39</v>
      </c>
      <c r="M178" s="3">
        <v>112</v>
      </c>
      <c r="N178" s="3">
        <v>12.9</v>
      </c>
      <c r="O178" s="3">
        <v>1.2</v>
      </c>
      <c r="P178" s="3">
        <v>94</v>
      </c>
      <c r="Q178" s="3">
        <v>21.3</v>
      </c>
      <c r="R178" s="3">
        <v>99.7</v>
      </c>
      <c r="S178" s="3">
        <v>7.382</v>
      </c>
      <c r="T178" s="3">
        <v>64.1</v>
      </c>
      <c r="U178" s="3">
        <v>140.7</v>
      </c>
      <c r="V178" s="3">
        <v>2.28</v>
      </c>
      <c r="W178" s="3">
        <v>1.41</v>
      </c>
      <c r="X178" s="3">
        <v>111</v>
      </c>
      <c r="Y178" s="3">
        <v>12.7</v>
      </c>
      <c r="Z178" s="3">
        <v>1.08</v>
      </c>
      <c r="AA178" s="3">
        <v>94</v>
      </c>
      <c r="AB178" s="3">
        <v>21.8</v>
      </c>
      <c r="AC178" s="3">
        <v>92.3</v>
      </c>
      <c r="AD178" s="3">
        <v>55</v>
      </c>
      <c r="AE178" s="3">
        <v>0.64</v>
      </c>
      <c r="AF178" s="3">
        <f t="shared" si="18"/>
        <v>0.0376918859649123</v>
      </c>
      <c r="AG178" s="3">
        <f t="shared" si="19"/>
        <v>4.47512701754387</v>
      </c>
      <c r="AH178" s="3">
        <f t="shared" si="20"/>
        <v>-0.12</v>
      </c>
      <c r="BO178" s="3">
        <f t="shared" si="17"/>
        <v>0</v>
      </c>
    </row>
    <row r="179" spans="1:67">
      <c r="A179" s="10"/>
      <c r="B179" s="10"/>
      <c r="C179" s="10"/>
      <c r="D179" s="43" t="s">
        <v>70</v>
      </c>
      <c r="E179" s="3">
        <v>58.5</v>
      </c>
      <c r="F179" s="3">
        <v>228</v>
      </c>
      <c r="G179" s="3">
        <v>254</v>
      </c>
      <c r="H179" s="3">
        <v>7.495</v>
      </c>
      <c r="I179" s="3">
        <v>280.3</v>
      </c>
      <c r="J179" s="3">
        <v>142.7</v>
      </c>
      <c r="K179" s="3">
        <v>2.98</v>
      </c>
      <c r="L179" s="3">
        <v>1.38</v>
      </c>
      <c r="M179" s="3">
        <v>112</v>
      </c>
      <c r="N179" s="3">
        <v>11.2</v>
      </c>
      <c r="O179" s="3">
        <v>2.24</v>
      </c>
      <c r="P179" s="3">
        <v>87</v>
      </c>
      <c r="Q179" s="3">
        <v>17.3</v>
      </c>
      <c r="R179" s="3">
        <v>99.7</v>
      </c>
      <c r="S179" s="3">
        <v>7.46</v>
      </c>
      <c r="T179" s="3">
        <v>90.9</v>
      </c>
      <c r="U179" s="3">
        <v>142.9</v>
      </c>
      <c r="V179" s="3">
        <v>2.97</v>
      </c>
      <c r="W179" s="3">
        <v>1.39</v>
      </c>
      <c r="X179" s="3">
        <v>113</v>
      </c>
      <c r="Y179" s="3">
        <v>11</v>
      </c>
      <c r="Z179" s="3">
        <v>2.07</v>
      </c>
      <c r="AA179" s="3">
        <v>86</v>
      </c>
      <c r="AB179" s="3">
        <v>17.5</v>
      </c>
      <c r="AC179" s="3">
        <v>97.5</v>
      </c>
      <c r="AD179" s="3">
        <v>50</v>
      </c>
      <c r="AE179" s="3">
        <v>0.65</v>
      </c>
      <c r="AF179" s="3">
        <f t="shared" si="18"/>
        <v>0.0337381916329285</v>
      </c>
      <c r="AG179" s="3">
        <f t="shared" si="19"/>
        <v>2.77751271929825</v>
      </c>
      <c r="AH179" s="3">
        <f t="shared" si="20"/>
        <v>-0.17</v>
      </c>
      <c r="AI179" s="4">
        <v>3.75</v>
      </c>
      <c r="AJ179" s="4">
        <v>0.26</v>
      </c>
      <c r="AK179" s="4">
        <v>46.3</v>
      </c>
      <c r="AL179" s="4">
        <v>2.25</v>
      </c>
      <c r="AM179" s="4">
        <v>10.57</v>
      </c>
      <c r="AN179" s="4">
        <v>13.63</v>
      </c>
      <c r="AO179" s="3">
        <v>9</v>
      </c>
      <c r="AP179" s="3">
        <v>111</v>
      </c>
      <c r="AQ179" s="3">
        <v>128</v>
      </c>
      <c r="AR179" s="3">
        <v>261</v>
      </c>
      <c r="AS179" s="3">
        <v>273</v>
      </c>
      <c r="AT179" s="3">
        <v>109</v>
      </c>
      <c r="AU179" s="3">
        <v>7</v>
      </c>
      <c r="AV179" s="3">
        <v>27</v>
      </c>
      <c r="AW179" s="3">
        <v>131</v>
      </c>
      <c r="AX179" s="3">
        <v>1213</v>
      </c>
      <c r="AY179" s="3">
        <v>-1815</v>
      </c>
      <c r="AZ179" s="3">
        <v>55</v>
      </c>
      <c r="BA179" s="3">
        <v>37</v>
      </c>
      <c r="BB179" s="3">
        <v>68</v>
      </c>
      <c r="BC179" s="3">
        <v>45</v>
      </c>
      <c r="BD179" s="3">
        <v>24</v>
      </c>
      <c r="BE179" s="3">
        <v>2114</v>
      </c>
      <c r="BF179" s="3">
        <v>35</v>
      </c>
      <c r="BG179" s="3">
        <v>1672</v>
      </c>
      <c r="BH179" s="3">
        <v>13001</v>
      </c>
      <c r="BI179" s="3">
        <v>3</v>
      </c>
      <c r="BJ179" s="3">
        <v>0</v>
      </c>
      <c r="BK179" s="3">
        <v>0</v>
      </c>
      <c r="BL179" s="3">
        <v>0</v>
      </c>
      <c r="BM179" s="3">
        <v>2268</v>
      </c>
      <c r="BN179" s="3">
        <v>87</v>
      </c>
      <c r="BO179" s="3">
        <f t="shared" si="17"/>
        <v>0.817718198958089</v>
      </c>
    </row>
    <row r="180" spans="1:67">
      <c r="A180" s="15"/>
      <c r="B180" s="15"/>
      <c r="C180" s="15"/>
      <c r="D180" s="16" t="s">
        <v>72</v>
      </c>
      <c r="AF180" s="3" t="e">
        <f t="shared" si="18"/>
        <v>#DIV/0!</v>
      </c>
      <c r="AG180" s="3" t="e">
        <f t="shared" si="19"/>
        <v>#DIV/0!</v>
      </c>
      <c r="AH180" s="3">
        <f t="shared" si="20"/>
        <v>0</v>
      </c>
      <c r="BO180" s="3" t="e">
        <f t="shared" si="17"/>
        <v>#DIV/0!</v>
      </c>
    </row>
    <row r="181" spans="1:67">
      <c r="A181" s="8">
        <v>29</v>
      </c>
      <c r="B181" s="8"/>
      <c r="C181" s="8" t="s">
        <v>113</v>
      </c>
      <c r="D181" s="9" t="s">
        <v>66</v>
      </c>
      <c r="E181" s="3">
        <v>58.1</v>
      </c>
      <c r="F181" s="3">
        <v>262</v>
      </c>
      <c r="AF181" s="3" t="e">
        <f t="shared" si="18"/>
        <v>#DIV/0!</v>
      </c>
      <c r="AG181" s="3">
        <f t="shared" si="19"/>
        <v>0</v>
      </c>
      <c r="AH181" s="3">
        <f t="shared" si="20"/>
        <v>0</v>
      </c>
      <c r="BO181" s="3">
        <f t="shared" si="17"/>
        <v>0</v>
      </c>
    </row>
    <row r="182" spans="1:67">
      <c r="A182" s="10"/>
      <c r="B182" s="10"/>
      <c r="C182" s="10"/>
      <c r="D182" s="9" t="s">
        <v>67</v>
      </c>
      <c r="E182" s="3">
        <v>58.1</v>
      </c>
      <c r="F182" s="3">
        <v>262</v>
      </c>
      <c r="H182" s="3">
        <v>7.415</v>
      </c>
      <c r="I182" s="3">
        <v>282.5</v>
      </c>
      <c r="J182" s="3">
        <v>137.5</v>
      </c>
      <c r="K182" s="3">
        <v>4.24</v>
      </c>
      <c r="L182" s="3">
        <v>1.5</v>
      </c>
      <c r="M182" s="3">
        <v>104</v>
      </c>
      <c r="N182" s="3">
        <v>8.2</v>
      </c>
      <c r="O182" s="3">
        <v>2.03</v>
      </c>
      <c r="P182" s="3">
        <v>77</v>
      </c>
      <c r="Q182" s="3">
        <v>21.9</v>
      </c>
      <c r="R182" s="3">
        <v>99.7</v>
      </c>
      <c r="S182" s="3">
        <v>7.399</v>
      </c>
      <c r="T182" s="3">
        <v>58.6</v>
      </c>
      <c r="U182" s="3">
        <v>137.5</v>
      </c>
      <c r="V182" s="3">
        <v>4.1</v>
      </c>
      <c r="W182" s="3">
        <v>1.5</v>
      </c>
      <c r="X182" s="3">
        <v>104</v>
      </c>
      <c r="Y182" s="3">
        <v>7.7</v>
      </c>
      <c r="Z182" s="3">
        <v>1.85</v>
      </c>
      <c r="AA182" s="3">
        <v>77</v>
      </c>
      <c r="AB182" s="3">
        <v>21.1</v>
      </c>
      <c r="AC182" s="3">
        <v>90.7</v>
      </c>
      <c r="AD182" s="3">
        <v>51</v>
      </c>
      <c r="AE182" s="3">
        <v>0.18</v>
      </c>
      <c r="AF182" s="3">
        <f t="shared" si="18"/>
        <v>0.108142493638677</v>
      </c>
      <c r="AG182" s="3">
        <f t="shared" si="19"/>
        <v>1.11483893129771</v>
      </c>
      <c r="AH182" s="3">
        <f t="shared" si="20"/>
        <v>-0.18</v>
      </c>
      <c r="AI182" s="4">
        <v>7.43</v>
      </c>
      <c r="AJ182" s="4">
        <v>0.06</v>
      </c>
      <c r="AK182" s="4">
        <v>53.04</v>
      </c>
      <c r="AL182" s="4">
        <v>34.68</v>
      </c>
      <c r="AM182" s="4">
        <v>8.51</v>
      </c>
      <c r="AN182" s="4">
        <v>89.48</v>
      </c>
      <c r="AO182" s="3">
        <v>-5</v>
      </c>
      <c r="AP182" s="3">
        <v>116</v>
      </c>
      <c r="AQ182" s="3">
        <v>131</v>
      </c>
      <c r="AR182" s="3">
        <v>162</v>
      </c>
      <c r="AS182" s="3">
        <v>302</v>
      </c>
      <c r="AT182" s="3">
        <v>96</v>
      </c>
      <c r="AU182" s="3">
        <v>-6</v>
      </c>
      <c r="AV182" s="3">
        <v>37</v>
      </c>
      <c r="AW182" s="3">
        <v>133</v>
      </c>
      <c r="AX182" s="3">
        <v>2507</v>
      </c>
      <c r="AY182" s="3">
        <v>-2134</v>
      </c>
      <c r="AZ182" s="3">
        <v>64</v>
      </c>
      <c r="BA182" s="3">
        <v>11</v>
      </c>
      <c r="BB182" s="3">
        <v>114</v>
      </c>
      <c r="BC182" s="3">
        <v>103</v>
      </c>
      <c r="BD182" s="3">
        <v>13</v>
      </c>
      <c r="BE182" s="3">
        <v>1259</v>
      </c>
      <c r="BF182" s="3">
        <v>12</v>
      </c>
      <c r="BG182" s="3">
        <v>1134</v>
      </c>
      <c r="BH182" s="3">
        <v>3725</v>
      </c>
      <c r="BI182" s="3">
        <v>0</v>
      </c>
      <c r="BJ182" s="3">
        <v>0</v>
      </c>
      <c r="BK182" s="3">
        <v>0</v>
      </c>
      <c r="BL182" s="3">
        <v>0</v>
      </c>
      <c r="BM182" s="3">
        <v>1047</v>
      </c>
      <c r="BN182" s="3">
        <v>95</v>
      </c>
      <c r="BO182" s="3">
        <f t="shared" si="17"/>
        <v>0.44455348900728</v>
      </c>
    </row>
    <row r="183" spans="1:67">
      <c r="A183" s="10"/>
      <c r="B183" s="10"/>
      <c r="C183" s="10"/>
      <c r="D183" s="9" t="s">
        <v>68</v>
      </c>
      <c r="E183" s="3">
        <v>58.1</v>
      </c>
      <c r="F183" s="3">
        <v>262</v>
      </c>
      <c r="H183" s="3">
        <v>7.444</v>
      </c>
      <c r="I183" s="3">
        <v>284.3</v>
      </c>
      <c r="J183" s="3">
        <v>138.2</v>
      </c>
      <c r="K183" s="3">
        <v>4.51</v>
      </c>
      <c r="L183" s="3">
        <v>1.39</v>
      </c>
      <c r="M183" s="3">
        <v>104</v>
      </c>
      <c r="N183" s="3">
        <v>12.2</v>
      </c>
      <c r="O183" s="3">
        <v>1.29</v>
      </c>
      <c r="P183" s="3">
        <v>77</v>
      </c>
      <c r="Q183" s="3">
        <v>21.6</v>
      </c>
      <c r="R183" s="3">
        <v>98.9</v>
      </c>
      <c r="S183" s="3">
        <v>7.43</v>
      </c>
      <c r="T183" s="3">
        <v>83.7</v>
      </c>
      <c r="U183" s="3">
        <v>137.7</v>
      </c>
      <c r="V183" s="3">
        <v>4.46</v>
      </c>
      <c r="W183" s="3">
        <v>1.4</v>
      </c>
      <c r="X183" s="3">
        <v>104</v>
      </c>
      <c r="Y183" s="3">
        <v>11.7</v>
      </c>
      <c r="Z183" s="3">
        <v>1.2</v>
      </c>
      <c r="AA183" s="3">
        <v>77</v>
      </c>
      <c r="AB183" s="3">
        <v>20.2</v>
      </c>
      <c r="AC183" s="3">
        <v>96.7</v>
      </c>
      <c r="AD183" s="3">
        <v>53</v>
      </c>
      <c r="AE183" s="3">
        <v>0.5</v>
      </c>
      <c r="AF183" s="3">
        <f t="shared" si="18"/>
        <v>0.0404580152671756</v>
      </c>
      <c r="AG183" s="3">
        <f t="shared" si="19"/>
        <v>1.61995419847328</v>
      </c>
      <c r="AH183" s="3">
        <f t="shared" si="20"/>
        <v>-0.0900000000000001</v>
      </c>
      <c r="BO183" s="3">
        <f t="shared" si="17"/>
        <v>0</v>
      </c>
    </row>
    <row r="184" spans="1:67">
      <c r="A184" s="10"/>
      <c r="B184" s="10"/>
      <c r="C184" s="10"/>
      <c r="D184" s="9" t="s">
        <v>69</v>
      </c>
      <c r="E184" s="3">
        <v>58.1</v>
      </c>
      <c r="F184" s="3">
        <v>262</v>
      </c>
      <c r="H184" s="3">
        <v>7.261</v>
      </c>
      <c r="I184" s="3">
        <v>263.5</v>
      </c>
      <c r="J184" s="3">
        <v>139</v>
      </c>
      <c r="K184" s="3">
        <v>4.6</v>
      </c>
      <c r="L184" s="3">
        <v>1.42</v>
      </c>
      <c r="M184" s="3">
        <v>104</v>
      </c>
      <c r="N184" s="3">
        <v>12.3</v>
      </c>
      <c r="O184" s="3">
        <v>1.13</v>
      </c>
      <c r="P184" s="3">
        <v>77</v>
      </c>
      <c r="Q184" s="3">
        <v>25.2</v>
      </c>
      <c r="R184" s="3">
        <v>99.5</v>
      </c>
      <c r="S184" s="3">
        <v>7.251</v>
      </c>
      <c r="T184" s="3">
        <v>104.5</v>
      </c>
      <c r="U184" s="3">
        <v>138.8</v>
      </c>
      <c r="V184" s="3">
        <v>4.59</v>
      </c>
      <c r="W184" s="3">
        <v>1.42</v>
      </c>
      <c r="X184" s="3">
        <v>104</v>
      </c>
      <c r="Y184" s="3">
        <v>12.3</v>
      </c>
      <c r="Z184" s="3">
        <v>1.14</v>
      </c>
      <c r="AA184" s="3">
        <v>77</v>
      </c>
      <c r="AB184" s="3">
        <v>25.6</v>
      </c>
      <c r="AC184" s="3">
        <v>96.8</v>
      </c>
      <c r="AD184" s="3">
        <v>45</v>
      </c>
      <c r="AE184" s="3">
        <v>0.59</v>
      </c>
      <c r="AF184" s="3">
        <f t="shared" si="18"/>
        <v>0.0291111398628542</v>
      </c>
      <c r="AG184" s="3">
        <f t="shared" si="19"/>
        <v>1.73731580152672</v>
      </c>
      <c r="AH184" s="3">
        <f t="shared" si="20"/>
        <v>0.01</v>
      </c>
      <c r="BO184" s="3">
        <f t="shared" si="17"/>
        <v>0</v>
      </c>
    </row>
    <row r="185" spans="1:67">
      <c r="A185" s="10"/>
      <c r="B185" s="10"/>
      <c r="C185" s="10"/>
      <c r="D185" s="43" t="s">
        <v>70</v>
      </c>
      <c r="E185" s="3">
        <v>58.1</v>
      </c>
      <c r="F185" s="3">
        <v>262</v>
      </c>
      <c r="G185" s="3">
        <v>338</v>
      </c>
      <c r="H185" s="3">
        <v>7.38</v>
      </c>
      <c r="I185" s="3">
        <v>277.3</v>
      </c>
      <c r="J185" s="3">
        <v>138.3</v>
      </c>
      <c r="K185" s="3">
        <v>4.66</v>
      </c>
      <c r="L185" s="3">
        <v>1.38</v>
      </c>
      <c r="M185" s="3">
        <v>104</v>
      </c>
      <c r="N185" s="3">
        <v>12.6</v>
      </c>
      <c r="O185" s="3">
        <v>1.32</v>
      </c>
      <c r="P185" s="3">
        <v>72</v>
      </c>
      <c r="Q185" s="3">
        <v>20.5</v>
      </c>
      <c r="R185" s="3">
        <v>99.6</v>
      </c>
      <c r="S185" s="3">
        <v>7.358</v>
      </c>
      <c r="T185" s="3">
        <v>92.7</v>
      </c>
      <c r="U185" s="3">
        <v>138.1</v>
      </c>
      <c r="V185" s="3">
        <v>4.64</v>
      </c>
      <c r="W185" s="3">
        <v>1.38</v>
      </c>
      <c r="X185" s="3">
        <v>104</v>
      </c>
      <c r="Y185" s="3">
        <v>12.5</v>
      </c>
      <c r="Z185" s="3">
        <v>1.37</v>
      </c>
      <c r="AA185" s="3">
        <v>73</v>
      </c>
      <c r="AB185" s="3">
        <v>20.7</v>
      </c>
      <c r="AC185" s="3">
        <v>96.9</v>
      </c>
      <c r="AD185" s="3">
        <v>44</v>
      </c>
      <c r="AE185" s="3">
        <v>0.63</v>
      </c>
      <c r="AF185" s="3">
        <f t="shared" si="18"/>
        <v>0.0266569732218587</v>
      </c>
      <c r="AG185" s="3">
        <f t="shared" si="19"/>
        <v>1.6902034351145</v>
      </c>
      <c r="AH185" s="3">
        <f t="shared" si="20"/>
        <v>0.05</v>
      </c>
      <c r="AI185" s="4">
        <v>4.47</v>
      </c>
      <c r="AJ185" s="4">
        <v>0.12</v>
      </c>
      <c r="AK185" s="4">
        <v>64.67</v>
      </c>
      <c r="AL185" s="4">
        <v>38.72</v>
      </c>
      <c r="AM185" s="4">
        <v>11.67</v>
      </c>
      <c r="AN185" s="4">
        <v>-20.68</v>
      </c>
      <c r="AO185" s="3">
        <v>0</v>
      </c>
      <c r="AP185" s="3">
        <v>112</v>
      </c>
      <c r="AQ185" s="3">
        <v>127</v>
      </c>
      <c r="AR185" s="3">
        <v>169</v>
      </c>
      <c r="AS185" s="3">
        <v>349</v>
      </c>
      <c r="AT185" s="3">
        <v>98</v>
      </c>
      <c r="AU185" s="3">
        <v>-3</v>
      </c>
      <c r="AV185" s="3">
        <v>40</v>
      </c>
      <c r="AW185" s="3">
        <v>150</v>
      </c>
      <c r="AX185" s="3">
        <v>2065</v>
      </c>
      <c r="AY185" s="3">
        <v>-1211</v>
      </c>
      <c r="AZ185" s="3">
        <v>51</v>
      </c>
      <c r="BA185" s="3">
        <v>14</v>
      </c>
      <c r="BB185" s="3">
        <v>125</v>
      </c>
      <c r="BC185" s="3">
        <v>98</v>
      </c>
      <c r="BD185" s="3">
        <v>29</v>
      </c>
      <c r="BE185" s="3">
        <v>2447</v>
      </c>
      <c r="BF185" s="3">
        <v>23</v>
      </c>
      <c r="BG185" s="3">
        <v>1969</v>
      </c>
      <c r="BH185" s="3">
        <v>2305</v>
      </c>
      <c r="BI185" s="3">
        <v>0</v>
      </c>
      <c r="BJ185" s="3">
        <v>0</v>
      </c>
      <c r="BK185" s="3">
        <v>0</v>
      </c>
      <c r="BL185" s="3">
        <v>0</v>
      </c>
      <c r="BM185" s="3">
        <v>1980</v>
      </c>
      <c r="BN185" s="3">
        <v>85</v>
      </c>
      <c r="BO185" s="3">
        <f t="shared" si="17"/>
        <v>0.864036844798106</v>
      </c>
    </row>
    <row r="186" spans="1:67">
      <c r="A186" s="15"/>
      <c r="B186" s="15"/>
      <c r="C186" s="15"/>
      <c r="D186" s="16" t="s">
        <v>72</v>
      </c>
      <c r="AF186" s="3" t="e">
        <f t="shared" si="18"/>
        <v>#DIV/0!</v>
      </c>
      <c r="AG186" s="3" t="e">
        <f t="shared" si="19"/>
        <v>#DIV/0!</v>
      </c>
      <c r="AH186" s="3">
        <f t="shared" si="20"/>
        <v>0</v>
      </c>
      <c r="BO186" s="3" t="e">
        <f t="shared" si="17"/>
        <v>#DIV/0!</v>
      </c>
    </row>
    <row r="187" spans="1:67">
      <c r="A187" s="8">
        <v>30</v>
      </c>
      <c r="B187" s="8"/>
      <c r="C187" s="8" t="s">
        <v>114</v>
      </c>
      <c r="D187" s="9" t="s">
        <v>66</v>
      </c>
      <c r="E187" s="3">
        <v>48.9</v>
      </c>
      <c r="F187" s="3">
        <v>250</v>
      </c>
      <c r="AF187" s="3" t="e">
        <f t="shared" si="18"/>
        <v>#DIV/0!</v>
      </c>
      <c r="AG187" s="3">
        <f t="shared" si="19"/>
        <v>0</v>
      </c>
      <c r="AH187" s="3">
        <f t="shared" si="20"/>
        <v>0</v>
      </c>
      <c r="BO187" s="3">
        <f t="shared" si="17"/>
        <v>0</v>
      </c>
    </row>
    <row r="188" spans="1:67">
      <c r="A188" s="10"/>
      <c r="B188" s="10"/>
      <c r="C188" s="10"/>
      <c r="D188" s="9" t="s">
        <v>67</v>
      </c>
      <c r="E188" s="3">
        <v>48.9</v>
      </c>
      <c r="F188" s="3">
        <v>250</v>
      </c>
      <c r="H188" s="3">
        <v>7.364</v>
      </c>
      <c r="I188" s="3">
        <v>303.9</v>
      </c>
      <c r="J188" s="3">
        <v>134.5</v>
      </c>
      <c r="K188" s="3">
        <v>4.67</v>
      </c>
      <c r="L188" s="3">
        <v>1.55</v>
      </c>
      <c r="M188" s="3">
        <v>109</v>
      </c>
      <c r="N188" s="3">
        <v>12.2</v>
      </c>
      <c r="O188" s="3">
        <v>0.8</v>
      </c>
      <c r="P188" s="3">
        <v>85</v>
      </c>
      <c r="Q188" s="3">
        <v>20.5</v>
      </c>
      <c r="R188" s="3">
        <v>99.7</v>
      </c>
      <c r="S188" s="3">
        <v>7.351</v>
      </c>
      <c r="T188" s="3">
        <v>70.4</v>
      </c>
      <c r="U188" s="3">
        <v>136</v>
      </c>
      <c r="V188" s="3">
        <v>4.66</v>
      </c>
      <c r="W188" s="3">
        <v>1.51</v>
      </c>
      <c r="X188" s="3">
        <v>109</v>
      </c>
      <c r="Y188" s="3">
        <v>10.8</v>
      </c>
      <c r="Z188" s="3">
        <v>0.79</v>
      </c>
      <c r="AA188" s="3">
        <v>85</v>
      </c>
      <c r="AB188" s="3">
        <v>19.7</v>
      </c>
      <c r="AC188" s="3">
        <v>93.6</v>
      </c>
      <c r="AD188" s="3">
        <v>49</v>
      </c>
      <c r="AE188" s="3">
        <v>0.27</v>
      </c>
      <c r="AF188" s="3">
        <f t="shared" si="18"/>
        <v>0.0725925925925926</v>
      </c>
      <c r="AG188" s="3">
        <f t="shared" si="19"/>
        <v>1.5321312</v>
      </c>
      <c r="AH188" s="3">
        <f t="shared" si="20"/>
        <v>-0.01</v>
      </c>
      <c r="AI188" s="37">
        <v>2.75</v>
      </c>
      <c r="AJ188" s="37">
        <v>0.19</v>
      </c>
      <c r="AK188" s="37">
        <v>41.98</v>
      </c>
      <c r="AL188" s="37">
        <v>5.94</v>
      </c>
      <c r="AM188" s="37">
        <v>8.95</v>
      </c>
      <c r="AN188" s="4">
        <v>2.33</v>
      </c>
      <c r="AO188" s="3">
        <v>11</v>
      </c>
      <c r="AP188" s="3">
        <v>134</v>
      </c>
      <c r="AQ188" s="3">
        <v>152</v>
      </c>
      <c r="AR188" s="3">
        <v>250</v>
      </c>
      <c r="AS188" s="3">
        <v>273</v>
      </c>
      <c r="AT188" s="3">
        <v>129</v>
      </c>
      <c r="AU188" s="3">
        <v>9</v>
      </c>
      <c r="AV188" s="3">
        <v>39</v>
      </c>
      <c r="AW188" s="3">
        <v>128</v>
      </c>
      <c r="AX188" s="3">
        <v>1406</v>
      </c>
      <c r="AY188" s="3">
        <v>-2026</v>
      </c>
      <c r="AZ188" s="3">
        <v>50</v>
      </c>
      <c r="BA188" s="3">
        <v>40</v>
      </c>
      <c r="BB188" s="3">
        <v>76</v>
      </c>
      <c r="BC188" s="3">
        <v>51</v>
      </c>
      <c r="BD188" s="3">
        <v>28</v>
      </c>
      <c r="BE188" s="3">
        <v>2406</v>
      </c>
      <c r="BF188" s="3">
        <v>35</v>
      </c>
      <c r="BG188" s="3">
        <v>1640</v>
      </c>
      <c r="BH188" s="3">
        <v>18455</v>
      </c>
      <c r="BI188" s="3">
        <v>3</v>
      </c>
      <c r="BJ188" s="3">
        <v>0</v>
      </c>
      <c r="BK188" s="3">
        <v>0</v>
      </c>
      <c r="BL188" s="3">
        <v>0</v>
      </c>
      <c r="BM188" s="3">
        <v>2458</v>
      </c>
      <c r="BN188" s="3">
        <v>87</v>
      </c>
      <c r="BO188" s="3">
        <f t="shared" si="17"/>
        <v>0.876094426362694</v>
      </c>
    </row>
    <row r="189" spans="1:67">
      <c r="A189" s="10"/>
      <c r="B189" s="10"/>
      <c r="C189" s="10"/>
      <c r="D189" s="9" t="s">
        <v>68</v>
      </c>
      <c r="E189" s="3">
        <v>48.9</v>
      </c>
      <c r="F189" s="3">
        <v>250</v>
      </c>
      <c r="H189" s="3">
        <v>7.328</v>
      </c>
      <c r="I189" s="3">
        <v>307.2</v>
      </c>
      <c r="J189" s="3">
        <v>135.8</v>
      </c>
      <c r="K189" s="3">
        <v>4.7</v>
      </c>
      <c r="L189" s="3">
        <v>1.42</v>
      </c>
      <c r="M189" s="3">
        <v>110</v>
      </c>
      <c r="N189" s="3">
        <v>9.7</v>
      </c>
      <c r="O189" s="3">
        <v>2.12</v>
      </c>
      <c r="P189" s="3">
        <v>83</v>
      </c>
      <c r="Q189" s="3">
        <v>18.5</v>
      </c>
      <c r="R189" s="3">
        <v>99.7</v>
      </c>
      <c r="S189" s="3">
        <v>7.324</v>
      </c>
      <c r="T189" s="3">
        <v>109.6</v>
      </c>
      <c r="U189" s="3">
        <v>135.8</v>
      </c>
      <c r="V189" s="3">
        <v>4.62</v>
      </c>
      <c r="W189" s="3">
        <v>1.43</v>
      </c>
      <c r="X189" s="3">
        <v>110</v>
      </c>
      <c r="Y189" s="3">
        <v>9.4</v>
      </c>
      <c r="Z189" s="3">
        <v>1.95</v>
      </c>
      <c r="AA189" s="3">
        <v>82</v>
      </c>
      <c r="AB189" s="3">
        <v>18.4</v>
      </c>
      <c r="AC189" s="3">
        <v>97.7</v>
      </c>
      <c r="AD189" s="3">
        <v>51</v>
      </c>
      <c r="AE189" s="3">
        <v>0.84</v>
      </c>
      <c r="AF189" s="3">
        <f t="shared" si="18"/>
        <v>0.0242857142857143</v>
      </c>
      <c r="AG189" s="3">
        <f t="shared" si="19"/>
        <v>3.24548448000001</v>
      </c>
      <c r="AH189" s="3">
        <f t="shared" si="20"/>
        <v>-0.17</v>
      </c>
      <c r="BO189" s="3">
        <f t="shared" si="17"/>
        <v>0</v>
      </c>
    </row>
    <row r="190" spans="1:67">
      <c r="A190" s="10"/>
      <c r="B190" s="10"/>
      <c r="C190" s="10"/>
      <c r="D190" s="9" t="s">
        <v>69</v>
      </c>
      <c r="E190" s="3">
        <v>48.9</v>
      </c>
      <c r="F190" s="3">
        <v>250</v>
      </c>
      <c r="H190" s="3">
        <v>7.284</v>
      </c>
      <c r="I190" s="3">
        <v>293.5</v>
      </c>
      <c r="J190" s="3">
        <v>137.4</v>
      </c>
      <c r="K190" s="3">
        <v>4.82</v>
      </c>
      <c r="L190" s="3">
        <v>1.43</v>
      </c>
      <c r="M190" s="3">
        <v>110</v>
      </c>
      <c r="N190" s="3">
        <v>8.5</v>
      </c>
      <c r="O190" s="3">
        <v>0.82</v>
      </c>
      <c r="P190" s="3">
        <v>86</v>
      </c>
      <c r="Q190" s="3">
        <v>20.3</v>
      </c>
      <c r="R190" s="3">
        <v>99.6</v>
      </c>
      <c r="S190" s="3">
        <v>7.288</v>
      </c>
      <c r="T190" s="3">
        <v>124.2</v>
      </c>
      <c r="U190" s="3">
        <v>137.1</v>
      </c>
      <c r="V190" s="3">
        <v>4.8</v>
      </c>
      <c r="W190" s="3">
        <v>1.43</v>
      </c>
      <c r="X190" s="3">
        <v>110</v>
      </c>
      <c r="Y190" s="3">
        <v>8.3</v>
      </c>
      <c r="Z190" s="3">
        <v>0.81</v>
      </c>
      <c r="AA190" s="3">
        <v>86</v>
      </c>
      <c r="AB190" s="3">
        <v>20.1</v>
      </c>
      <c r="AC190" s="3">
        <v>98.1</v>
      </c>
      <c r="AD190" s="3">
        <v>51</v>
      </c>
      <c r="AE190" s="3">
        <v>0.88</v>
      </c>
      <c r="AF190" s="3">
        <f t="shared" si="18"/>
        <v>0.0231818181818182</v>
      </c>
      <c r="AG190" s="3">
        <f t="shared" si="19"/>
        <v>2.4558688</v>
      </c>
      <c r="AH190" s="3">
        <f t="shared" si="20"/>
        <v>-0.0099999999999999</v>
      </c>
      <c r="BO190" s="3">
        <f t="shared" si="17"/>
        <v>0</v>
      </c>
    </row>
    <row r="191" spans="1:67">
      <c r="A191" s="10"/>
      <c r="B191" s="10"/>
      <c r="C191" s="10"/>
      <c r="D191" s="43" t="s">
        <v>70</v>
      </c>
      <c r="E191" s="3">
        <v>48.9</v>
      </c>
      <c r="F191" s="3">
        <v>250</v>
      </c>
      <c r="G191" s="3">
        <v>326</v>
      </c>
      <c r="H191" s="3">
        <v>7.322</v>
      </c>
      <c r="I191" s="3">
        <v>265.9</v>
      </c>
      <c r="J191" s="3">
        <v>138.7</v>
      </c>
      <c r="K191" s="3">
        <v>5</v>
      </c>
      <c r="L191" s="3">
        <v>1.38</v>
      </c>
      <c r="M191" s="3">
        <v>112</v>
      </c>
      <c r="N191" s="3">
        <v>7.1</v>
      </c>
      <c r="O191" s="3">
        <v>1.03</v>
      </c>
      <c r="P191" s="3">
        <v>82</v>
      </c>
      <c r="Q191" s="3">
        <v>19.2</v>
      </c>
      <c r="R191" s="3">
        <v>99.6</v>
      </c>
      <c r="S191" s="3">
        <v>7.304</v>
      </c>
      <c r="T191" s="3">
        <v>117.1</v>
      </c>
      <c r="U191" s="3">
        <v>138.5</v>
      </c>
      <c r="V191" s="3">
        <v>4.95</v>
      </c>
      <c r="W191" s="3">
        <v>1.4</v>
      </c>
      <c r="X191" s="3">
        <v>112</v>
      </c>
      <c r="Y191" s="3">
        <v>6.6</v>
      </c>
      <c r="Z191" s="3">
        <v>1.06</v>
      </c>
      <c r="AA191" s="3">
        <v>82</v>
      </c>
      <c r="AB191" s="3">
        <v>18.6</v>
      </c>
      <c r="AC191" s="3">
        <v>97.9</v>
      </c>
      <c r="AD191" s="3">
        <v>51</v>
      </c>
      <c r="AE191" s="3">
        <v>0.81</v>
      </c>
      <c r="AF191" s="3">
        <f t="shared" si="18"/>
        <v>0.0251851851851852</v>
      </c>
      <c r="AG191" s="3">
        <f t="shared" si="19"/>
        <v>2.09976624</v>
      </c>
      <c r="AH191" s="3">
        <f t="shared" si="20"/>
        <v>0.03</v>
      </c>
      <c r="AI191" s="4">
        <v>3.63</v>
      </c>
      <c r="AJ191" s="4">
        <v>0.55</v>
      </c>
      <c r="AK191" s="4">
        <v>19.57</v>
      </c>
      <c r="AL191" s="4">
        <v>12.39</v>
      </c>
      <c r="AM191" s="4">
        <v>18.39</v>
      </c>
      <c r="AN191" s="4">
        <v>56.04</v>
      </c>
      <c r="AO191" s="3">
        <v>14</v>
      </c>
      <c r="AP191" s="3">
        <v>87</v>
      </c>
      <c r="AQ191" s="3">
        <v>96</v>
      </c>
      <c r="AR191" s="3">
        <v>272</v>
      </c>
      <c r="AS191" s="3">
        <v>284</v>
      </c>
      <c r="AT191" s="3">
        <v>89</v>
      </c>
      <c r="AU191" s="3">
        <v>11</v>
      </c>
      <c r="AV191" s="3">
        <v>37</v>
      </c>
      <c r="AW191" s="3">
        <v>136</v>
      </c>
      <c r="AX191" s="3">
        <v>870</v>
      </c>
      <c r="AY191" s="3">
        <v>-961</v>
      </c>
      <c r="AZ191" s="3">
        <v>39</v>
      </c>
      <c r="BA191" s="3">
        <v>58</v>
      </c>
      <c r="BB191" s="3">
        <v>93</v>
      </c>
      <c r="BC191" s="3">
        <v>79</v>
      </c>
      <c r="BD191" s="3">
        <v>18</v>
      </c>
      <c r="BE191" s="3">
        <v>1467</v>
      </c>
      <c r="BF191" s="3">
        <v>19</v>
      </c>
      <c r="BG191" s="3">
        <v>445</v>
      </c>
      <c r="BH191" s="3">
        <v>10788</v>
      </c>
      <c r="BI191" s="3">
        <v>1</v>
      </c>
      <c r="BJ191" s="3">
        <v>0</v>
      </c>
      <c r="BK191" s="3">
        <v>0</v>
      </c>
      <c r="BL191" s="3">
        <v>0</v>
      </c>
      <c r="BM191" s="3">
        <v>1280</v>
      </c>
      <c r="BN191" s="3">
        <v>82</v>
      </c>
      <c r="BO191" s="3">
        <f t="shared" si="17"/>
        <v>0.534177274926879</v>
      </c>
    </row>
    <row r="192" spans="1:67">
      <c r="A192" s="15"/>
      <c r="B192" s="15"/>
      <c r="C192" s="15"/>
      <c r="D192" s="16" t="s">
        <v>72</v>
      </c>
      <c r="AF192" s="3" t="e">
        <f t="shared" si="18"/>
        <v>#DIV/0!</v>
      </c>
      <c r="AG192" s="3" t="e">
        <f t="shared" si="19"/>
        <v>#DIV/0!</v>
      </c>
      <c r="AH192" s="3">
        <f t="shared" si="20"/>
        <v>0</v>
      </c>
      <c r="BO192" s="3" t="e">
        <f t="shared" si="17"/>
        <v>#DIV/0!</v>
      </c>
    </row>
    <row r="193" spans="1:67">
      <c r="A193" s="8">
        <v>31</v>
      </c>
      <c r="B193" s="8"/>
      <c r="C193" s="8" t="s">
        <v>115</v>
      </c>
      <c r="D193" s="9" t="s">
        <v>66</v>
      </c>
      <c r="E193" s="3">
        <v>48.6</v>
      </c>
      <c r="F193" s="3">
        <v>262</v>
      </c>
      <c r="AF193" s="3" t="e">
        <f t="shared" si="18"/>
        <v>#DIV/0!</v>
      </c>
      <c r="AG193" s="3">
        <f t="shared" si="19"/>
        <v>0</v>
      </c>
      <c r="AH193" s="3">
        <f t="shared" si="20"/>
        <v>0</v>
      </c>
      <c r="BO193" s="3">
        <f t="shared" si="17"/>
        <v>0</v>
      </c>
    </row>
    <row r="194" spans="1:67">
      <c r="A194" s="10"/>
      <c r="B194" s="10"/>
      <c r="C194" s="10"/>
      <c r="D194" s="9" t="s">
        <v>67</v>
      </c>
      <c r="E194" s="3">
        <v>48.6</v>
      </c>
      <c r="F194" s="3">
        <v>262</v>
      </c>
      <c r="H194" s="3">
        <v>7.336</v>
      </c>
      <c r="I194" s="3">
        <v>310.2</v>
      </c>
      <c r="J194" s="3">
        <v>128</v>
      </c>
      <c r="K194" s="3">
        <v>3.08</v>
      </c>
      <c r="L194" s="3">
        <v>1.29</v>
      </c>
      <c r="M194" s="3">
        <v>93</v>
      </c>
      <c r="N194" s="3">
        <v>7.1</v>
      </c>
      <c r="O194" s="3">
        <v>1.61</v>
      </c>
      <c r="P194" s="3">
        <v>67</v>
      </c>
      <c r="Q194" s="3">
        <v>23</v>
      </c>
      <c r="R194" s="3">
        <v>99.7</v>
      </c>
      <c r="S194" s="3">
        <v>7.324</v>
      </c>
      <c r="T194" s="3">
        <v>55.2</v>
      </c>
      <c r="U194" s="3">
        <v>127.9</v>
      </c>
      <c r="V194" s="3">
        <v>3.05</v>
      </c>
      <c r="W194" s="3">
        <v>1.29</v>
      </c>
      <c r="X194" s="3">
        <v>94</v>
      </c>
      <c r="Y194" s="3">
        <v>7</v>
      </c>
      <c r="Z194" s="3">
        <v>1.54</v>
      </c>
      <c r="AA194" s="3">
        <v>67</v>
      </c>
      <c r="AB194" s="3">
        <v>22.6</v>
      </c>
      <c r="AC194" s="3">
        <v>86.3</v>
      </c>
      <c r="AD194" s="3">
        <v>65</v>
      </c>
      <c r="AE194" s="3">
        <v>0.558</v>
      </c>
      <c r="AF194" s="3">
        <f t="shared" si="18"/>
        <v>0.0444608607622644</v>
      </c>
      <c r="AG194" s="3">
        <f t="shared" si="19"/>
        <v>4.24580922137404</v>
      </c>
      <c r="AH194" s="3">
        <f t="shared" si="20"/>
        <v>-0.0700000000000001</v>
      </c>
      <c r="AI194" s="35" t="s">
        <v>83</v>
      </c>
      <c r="BO194" s="3">
        <f t="shared" si="17"/>
        <v>0</v>
      </c>
    </row>
    <row r="195" spans="1:67">
      <c r="A195" s="10"/>
      <c r="B195" s="10"/>
      <c r="C195" s="10"/>
      <c r="D195" s="9" t="s">
        <v>68</v>
      </c>
      <c r="E195" s="3">
        <v>48.6</v>
      </c>
      <c r="F195" s="3">
        <v>262</v>
      </c>
      <c r="H195" s="3">
        <v>7.475</v>
      </c>
      <c r="I195" s="3">
        <v>301.4</v>
      </c>
      <c r="J195" s="3">
        <v>129.2</v>
      </c>
      <c r="K195" s="3">
        <v>2.92</v>
      </c>
      <c r="L195" s="3">
        <v>1.26</v>
      </c>
      <c r="M195" s="3">
        <v>95</v>
      </c>
      <c r="N195" s="3">
        <v>7.3</v>
      </c>
      <c r="O195" s="3">
        <v>1.05</v>
      </c>
      <c r="P195" s="3">
        <v>68</v>
      </c>
      <c r="Q195" s="3">
        <v>21.2</v>
      </c>
      <c r="R195" s="3">
        <v>99.7</v>
      </c>
      <c r="S195" s="3">
        <v>7.46</v>
      </c>
      <c r="T195" s="3">
        <v>48.2</v>
      </c>
      <c r="U195" s="3">
        <v>129</v>
      </c>
      <c r="V195" s="3">
        <v>2.97</v>
      </c>
      <c r="W195" s="3">
        <v>1.25</v>
      </c>
      <c r="X195" s="3">
        <v>95</v>
      </c>
      <c r="Y195" s="3">
        <v>7.4</v>
      </c>
      <c r="Z195" s="3">
        <v>1.16</v>
      </c>
      <c r="AA195" s="3">
        <v>69</v>
      </c>
      <c r="AB195" s="3">
        <v>21.3</v>
      </c>
      <c r="AC195" s="3">
        <v>86.8</v>
      </c>
      <c r="AD195" s="3">
        <v>50</v>
      </c>
      <c r="AE195" s="3">
        <v>0.36</v>
      </c>
      <c r="AF195" s="3">
        <f t="shared" si="18"/>
        <v>0.0530110262934691</v>
      </c>
      <c r="AG195" s="3">
        <f t="shared" si="19"/>
        <v>2.53381740458015</v>
      </c>
      <c r="AH195" s="3">
        <f t="shared" si="20"/>
        <v>0.11</v>
      </c>
      <c r="BO195" s="3">
        <f t="shared" ref="BO195:BO204" si="21">BE195/(0.0734*(POWER(F195,0.656)))/1000</f>
        <v>0</v>
      </c>
    </row>
    <row r="196" spans="1:67">
      <c r="A196" s="10"/>
      <c r="B196" s="10"/>
      <c r="C196" s="10"/>
      <c r="D196" s="9" t="s">
        <v>69</v>
      </c>
      <c r="E196" s="3">
        <v>48.6</v>
      </c>
      <c r="F196" s="3">
        <v>262</v>
      </c>
      <c r="H196" s="3">
        <v>7.379</v>
      </c>
      <c r="I196" s="3">
        <v>301.6</v>
      </c>
      <c r="J196" s="3">
        <v>128.7</v>
      </c>
      <c r="K196" s="3">
        <v>2.99</v>
      </c>
      <c r="L196" s="3">
        <v>1.26</v>
      </c>
      <c r="M196" s="3">
        <v>93</v>
      </c>
      <c r="N196" s="3">
        <v>8</v>
      </c>
      <c r="O196" s="3">
        <v>0.72</v>
      </c>
      <c r="P196" s="3">
        <v>71</v>
      </c>
      <c r="Q196" s="3">
        <v>23.1</v>
      </c>
      <c r="R196" s="3">
        <v>99.7</v>
      </c>
      <c r="S196" s="3">
        <v>7.365</v>
      </c>
      <c r="T196" s="3">
        <v>50.3</v>
      </c>
      <c r="U196" s="3">
        <v>129</v>
      </c>
      <c r="V196" s="3">
        <v>3.04</v>
      </c>
      <c r="W196" s="3">
        <v>1.27</v>
      </c>
      <c r="X196" s="3">
        <v>93</v>
      </c>
      <c r="Y196" s="3">
        <v>7.8</v>
      </c>
      <c r="Z196" s="3">
        <v>0.7</v>
      </c>
      <c r="AA196" s="3">
        <v>73</v>
      </c>
      <c r="AB196" s="3">
        <v>23.2</v>
      </c>
      <c r="AC196" s="3">
        <v>84.4</v>
      </c>
      <c r="AD196" s="3">
        <v>50</v>
      </c>
      <c r="AE196" s="3">
        <v>0.3</v>
      </c>
      <c r="AF196" s="3">
        <f t="shared" ref="AF196:AF203" si="22">AD196/AE196/1000/F196*100</f>
        <v>0.0636132315521628</v>
      </c>
      <c r="AG196" s="3">
        <f t="shared" ref="AG196:AG203" si="23">AE196*1000*((1.34*P196/10*R196/100+0.0031*I196)-(1.34*AA196/10*AC196/100+0.0031*T196))/(F196/100)/100</f>
        <v>2.29978625954198</v>
      </c>
      <c r="AH196" s="3">
        <f t="shared" ref="AH196:AH203" si="24">Z196-O196</f>
        <v>-0.02</v>
      </c>
      <c r="BO196" s="3">
        <f t="shared" si="21"/>
        <v>0</v>
      </c>
    </row>
    <row r="197" spans="1:67">
      <c r="A197" s="10"/>
      <c r="B197" s="10"/>
      <c r="C197" s="10"/>
      <c r="D197" s="43" t="s">
        <v>74</v>
      </c>
      <c r="E197" s="3">
        <v>48.6</v>
      </c>
      <c r="F197" s="3">
        <v>262</v>
      </c>
      <c r="G197" s="3">
        <v>323</v>
      </c>
      <c r="H197" s="3">
        <v>7.316</v>
      </c>
      <c r="I197" s="3">
        <v>274.8</v>
      </c>
      <c r="J197" s="3">
        <v>126.8</v>
      </c>
      <c r="K197" s="3">
        <v>3.37</v>
      </c>
      <c r="L197" s="3">
        <v>1.25</v>
      </c>
      <c r="M197" s="3">
        <v>91</v>
      </c>
      <c r="N197" s="3">
        <v>12.1</v>
      </c>
      <c r="O197" s="3">
        <v>0.54</v>
      </c>
      <c r="P197" s="3">
        <v>71</v>
      </c>
      <c r="Q197" s="3">
        <v>23.2</v>
      </c>
      <c r="R197" s="3">
        <v>99.6</v>
      </c>
      <c r="S197" s="3">
        <v>7.305</v>
      </c>
      <c r="T197" s="3">
        <v>68.4</v>
      </c>
      <c r="U197" s="3">
        <v>126.9</v>
      </c>
      <c r="V197" s="3">
        <v>3.35</v>
      </c>
      <c r="W197" s="3">
        <v>1.25</v>
      </c>
      <c r="X197" s="3">
        <v>92</v>
      </c>
      <c r="Y197" s="3">
        <v>12</v>
      </c>
      <c r="Z197" s="3">
        <v>0.6</v>
      </c>
      <c r="AA197" s="3">
        <v>70</v>
      </c>
      <c r="AB197" s="3">
        <v>23.9</v>
      </c>
      <c r="AC197" s="3">
        <v>91.8</v>
      </c>
      <c r="AD197" s="3">
        <v>50</v>
      </c>
      <c r="AE197" s="3">
        <v>0.66</v>
      </c>
      <c r="AF197" s="3">
        <f t="shared" si="22"/>
        <v>0.0289151052509831</v>
      </c>
      <c r="AG197" s="3">
        <f t="shared" si="23"/>
        <v>3.7910803053435</v>
      </c>
      <c r="AH197" s="3">
        <f t="shared" si="24"/>
        <v>0.0599999999999999</v>
      </c>
      <c r="AI197" s="4">
        <v>4.96</v>
      </c>
      <c r="AJ197" s="4">
        <v>0.3</v>
      </c>
      <c r="AK197" s="4">
        <v>41.96</v>
      </c>
      <c r="AL197" s="4">
        <v>10.16</v>
      </c>
      <c r="AM197" s="4">
        <v>14.74</v>
      </c>
      <c r="AN197" s="4">
        <v>47.91</v>
      </c>
      <c r="AO197" s="3">
        <v>7</v>
      </c>
      <c r="AP197" s="3">
        <v>103</v>
      </c>
      <c r="AQ197" s="3">
        <v>120</v>
      </c>
      <c r="AR197" s="3">
        <v>184</v>
      </c>
      <c r="AS197" s="3">
        <v>241</v>
      </c>
      <c r="AT197" s="3">
        <v>103</v>
      </c>
      <c r="AU197" s="3">
        <v>5</v>
      </c>
      <c r="AV197" s="3">
        <v>42</v>
      </c>
      <c r="AW197" s="3">
        <v>129</v>
      </c>
      <c r="AX197" s="3">
        <v>1471</v>
      </c>
      <c r="AY197" s="3">
        <v>-1692</v>
      </c>
      <c r="AZ197" s="3">
        <v>50</v>
      </c>
      <c r="BA197" s="3">
        <v>34</v>
      </c>
      <c r="BB197" s="3">
        <v>114</v>
      </c>
      <c r="BC197" s="3">
        <v>94</v>
      </c>
      <c r="BD197" s="3">
        <v>21</v>
      </c>
      <c r="BE197" s="3">
        <v>2103</v>
      </c>
      <c r="BF197" s="3">
        <v>18</v>
      </c>
      <c r="BG197" s="3">
        <v>912</v>
      </c>
      <c r="BH197" s="3">
        <v>14329</v>
      </c>
      <c r="BI197" s="3">
        <v>1</v>
      </c>
      <c r="BJ197" s="3">
        <v>0</v>
      </c>
      <c r="BK197" s="3">
        <v>0</v>
      </c>
      <c r="BL197" s="3">
        <v>0</v>
      </c>
      <c r="BM197" s="3">
        <v>1420</v>
      </c>
      <c r="BN197" s="3">
        <v>101</v>
      </c>
      <c r="BO197" s="3">
        <f t="shared" si="21"/>
        <v>0.742570283862042</v>
      </c>
    </row>
    <row r="198" spans="1:67">
      <c r="A198" s="15"/>
      <c r="B198" s="15"/>
      <c r="C198" s="15"/>
      <c r="D198" s="16" t="s">
        <v>72</v>
      </c>
      <c r="AF198" s="3" t="e">
        <f t="shared" si="22"/>
        <v>#DIV/0!</v>
      </c>
      <c r="AG198" s="3" t="e">
        <f t="shared" si="23"/>
        <v>#DIV/0!</v>
      </c>
      <c r="AH198" s="3">
        <f t="shared" si="24"/>
        <v>0</v>
      </c>
      <c r="BO198" s="3" t="e">
        <f t="shared" si="21"/>
        <v>#DIV/0!</v>
      </c>
    </row>
    <row r="199" spans="1:67">
      <c r="A199" s="8">
        <v>31</v>
      </c>
      <c r="B199" s="8"/>
      <c r="C199" s="8" t="s">
        <v>116</v>
      </c>
      <c r="D199" s="9" t="s">
        <v>66</v>
      </c>
      <c r="E199" s="3">
        <v>54.8</v>
      </c>
      <c r="F199" s="3">
        <v>281</v>
      </c>
      <c r="AF199" s="3" t="e">
        <f t="shared" si="22"/>
        <v>#DIV/0!</v>
      </c>
      <c r="AG199" s="3">
        <f t="shared" si="23"/>
        <v>0</v>
      </c>
      <c r="AH199" s="3">
        <f t="shared" si="24"/>
        <v>0</v>
      </c>
      <c r="BO199" s="3">
        <f t="shared" si="21"/>
        <v>0</v>
      </c>
    </row>
    <row r="200" spans="1:67">
      <c r="A200" s="10"/>
      <c r="B200" s="10"/>
      <c r="C200" s="10"/>
      <c r="D200" s="9" t="s">
        <v>67</v>
      </c>
      <c r="E200" s="3">
        <v>54.8</v>
      </c>
      <c r="F200" s="3">
        <v>281</v>
      </c>
      <c r="H200" s="3">
        <v>7.283</v>
      </c>
      <c r="I200" s="3">
        <v>288</v>
      </c>
      <c r="J200" s="3">
        <v>130.3</v>
      </c>
      <c r="K200" s="3">
        <v>3.29</v>
      </c>
      <c r="L200" s="3">
        <v>1.29</v>
      </c>
      <c r="M200" s="3">
        <v>98</v>
      </c>
      <c r="N200" s="3">
        <v>10.7</v>
      </c>
      <c r="O200" s="3">
        <v>0.35</v>
      </c>
      <c r="P200" s="3">
        <v>74</v>
      </c>
      <c r="Q200" s="3">
        <v>24.6</v>
      </c>
      <c r="R200" s="3">
        <v>99.6</v>
      </c>
      <c r="S200" s="3">
        <v>7.278</v>
      </c>
      <c r="T200" s="3">
        <v>65.9</v>
      </c>
      <c r="U200" s="3">
        <v>130</v>
      </c>
      <c r="V200" s="3">
        <v>3.3</v>
      </c>
      <c r="W200" s="3">
        <v>1.29</v>
      </c>
      <c r="X200" s="3">
        <v>98</v>
      </c>
      <c r="Y200" s="3">
        <v>10.4</v>
      </c>
      <c r="Z200" s="3">
        <v>0.43</v>
      </c>
      <c r="AA200" s="3">
        <v>74</v>
      </c>
      <c r="AB200" s="3">
        <v>24.3</v>
      </c>
      <c r="AC200" s="3">
        <v>89.9</v>
      </c>
      <c r="AD200" s="3">
        <v>50</v>
      </c>
      <c r="AE200" s="3">
        <v>0.647</v>
      </c>
      <c r="AF200" s="3">
        <f t="shared" si="22"/>
        <v>0.0275016913540183</v>
      </c>
      <c r="AG200" s="3">
        <f t="shared" si="23"/>
        <v>3.79994382206405</v>
      </c>
      <c r="AH200" s="3">
        <f t="shared" si="24"/>
        <v>0.08</v>
      </c>
      <c r="BO200" s="3">
        <f t="shared" si="21"/>
        <v>0</v>
      </c>
    </row>
    <row r="201" spans="1:67">
      <c r="A201" s="10"/>
      <c r="B201" s="10"/>
      <c r="C201" s="10"/>
      <c r="D201" s="9" t="s">
        <v>68</v>
      </c>
      <c r="E201" s="3">
        <v>54.8</v>
      </c>
      <c r="F201" s="3">
        <v>281</v>
      </c>
      <c r="H201" s="3">
        <v>7.303</v>
      </c>
      <c r="S201" s="3">
        <v>7.273</v>
      </c>
      <c r="AD201" s="3">
        <v>49</v>
      </c>
      <c r="AE201" s="3">
        <v>0.8</v>
      </c>
      <c r="AF201" s="3">
        <f t="shared" si="22"/>
        <v>0.021797153024911</v>
      </c>
      <c r="AG201" s="3">
        <f t="shared" si="23"/>
        <v>0</v>
      </c>
      <c r="AH201" s="3">
        <f t="shared" si="24"/>
        <v>0</v>
      </c>
      <c r="BO201" s="3">
        <f t="shared" si="21"/>
        <v>0</v>
      </c>
    </row>
    <row r="202" spans="1:67">
      <c r="A202" s="10"/>
      <c r="B202" s="10"/>
      <c r="C202" s="10"/>
      <c r="D202" s="9" t="s">
        <v>69</v>
      </c>
      <c r="E202" s="3">
        <v>54.8</v>
      </c>
      <c r="F202" s="3">
        <v>281</v>
      </c>
      <c r="H202" s="3">
        <v>7.462</v>
      </c>
      <c r="S202" s="3">
        <v>7.389</v>
      </c>
      <c r="AD202" s="3">
        <v>58</v>
      </c>
      <c r="AE202" s="3">
        <v>1.2</v>
      </c>
      <c r="AF202" s="3">
        <f t="shared" si="22"/>
        <v>0.0172004744958482</v>
      </c>
      <c r="AG202" s="3">
        <f t="shared" si="23"/>
        <v>0</v>
      </c>
      <c r="AH202" s="3">
        <f t="shared" si="24"/>
        <v>0</v>
      </c>
      <c r="BO202" s="3">
        <f t="shared" si="21"/>
        <v>0</v>
      </c>
    </row>
    <row r="203" spans="1:67">
      <c r="A203" s="10"/>
      <c r="B203" s="10"/>
      <c r="C203" s="10"/>
      <c r="D203" s="43" t="s">
        <v>70</v>
      </c>
      <c r="E203" s="3">
        <v>54.8</v>
      </c>
      <c r="F203" s="3">
        <v>281</v>
      </c>
      <c r="G203" s="3">
        <v>377</v>
      </c>
      <c r="H203" s="3">
        <v>7.542</v>
      </c>
      <c r="I203" s="3">
        <v>304.1</v>
      </c>
      <c r="J203" s="3">
        <v>127.6</v>
      </c>
      <c r="K203" s="3">
        <v>3.7</v>
      </c>
      <c r="L203" s="3">
        <v>1.16</v>
      </c>
      <c r="M203" s="3">
        <v>99</v>
      </c>
      <c r="N203" s="3">
        <v>11.7</v>
      </c>
      <c r="O203" s="3">
        <v>0.91</v>
      </c>
      <c r="P203" s="3">
        <v>63</v>
      </c>
      <c r="Q203" s="3">
        <v>21.3</v>
      </c>
      <c r="R203" s="3">
        <v>99.8</v>
      </c>
      <c r="S203" s="3">
        <v>7.502</v>
      </c>
      <c r="T203" s="3">
        <v>72.1</v>
      </c>
      <c r="U203" s="3">
        <v>126.7</v>
      </c>
      <c r="V203" s="3">
        <v>3.62</v>
      </c>
      <c r="W203" s="3">
        <v>1.18</v>
      </c>
      <c r="X203" s="3">
        <v>98</v>
      </c>
      <c r="Y203" s="3">
        <v>11.1</v>
      </c>
      <c r="Z203" s="3">
        <v>0.91</v>
      </c>
      <c r="AA203" s="3">
        <v>63</v>
      </c>
      <c r="AB203" s="3">
        <v>20.4</v>
      </c>
      <c r="AC203" s="3">
        <v>96</v>
      </c>
      <c r="AD203" s="3">
        <v>51</v>
      </c>
      <c r="AE203" s="3">
        <v>1.09</v>
      </c>
      <c r="AF203" s="3">
        <f t="shared" si="22"/>
        <v>0.0166508864148356</v>
      </c>
      <c r="AG203" s="3">
        <f t="shared" si="23"/>
        <v>4.03414818505339</v>
      </c>
      <c r="AH203" s="3">
        <f t="shared" si="24"/>
        <v>0</v>
      </c>
      <c r="BO203" s="3">
        <f t="shared" si="21"/>
        <v>0</v>
      </c>
    </row>
    <row r="204" spans="1:67">
      <c r="A204" s="15"/>
      <c r="B204" s="15"/>
      <c r="C204" s="15"/>
      <c r="D204" s="16" t="s">
        <v>72</v>
      </c>
      <c r="BO204" s="3" t="e">
        <f t="shared" si="21"/>
        <v>#DIV/0!</v>
      </c>
    </row>
  </sheetData>
  <mergeCells count="104">
    <mergeCell ref="H1:R1"/>
    <mergeCell ref="S1:AC1"/>
    <mergeCell ref="AD1:AF1"/>
    <mergeCell ref="AG1:AH1"/>
    <mergeCell ref="AI1:BO1"/>
    <mergeCell ref="A3:A9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8"/>
    <mergeCell ref="A79:A84"/>
    <mergeCell ref="A85:A90"/>
    <mergeCell ref="A91:A96"/>
    <mergeCell ref="A97:A102"/>
    <mergeCell ref="A103:A108"/>
    <mergeCell ref="A109:A114"/>
    <mergeCell ref="A115:A120"/>
    <mergeCell ref="A121:A126"/>
    <mergeCell ref="A127:A132"/>
    <mergeCell ref="A133:A138"/>
    <mergeCell ref="A139:A144"/>
    <mergeCell ref="A145:A150"/>
    <mergeCell ref="A151:A156"/>
    <mergeCell ref="A157:A162"/>
    <mergeCell ref="A163:A168"/>
    <mergeCell ref="A169:A174"/>
    <mergeCell ref="A175:A180"/>
    <mergeCell ref="A181:A186"/>
    <mergeCell ref="A187:A192"/>
    <mergeCell ref="A193:A198"/>
    <mergeCell ref="A199:A204"/>
    <mergeCell ref="B3:B9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8"/>
    <mergeCell ref="B79:B84"/>
    <mergeCell ref="B85:B90"/>
    <mergeCell ref="B91:B96"/>
    <mergeCell ref="B97:B102"/>
    <mergeCell ref="B103:B108"/>
    <mergeCell ref="B109:B114"/>
    <mergeCell ref="B115:B120"/>
    <mergeCell ref="B121:B126"/>
    <mergeCell ref="B127:B132"/>
    <mergeCell ref="B133:B138"/>
    <mergeCell ref="B139:B144"/>
    <mergeCell ref="B145:B150"/>
    <mergeCell ref="B151:B156"/>
    <mergeCell ref="B157:B162"/>
    <mergeCell ref="B163:B168"/>
    <mergeCell ref="B169:B174"/>
    <mergeCell ref="B175:B180"/>
    <mergeCell ref="B181:B186"/>
    <mergeCell ref="B187:B192"/>
    <mergeCell ref="B193:B198"/>
    <mergeCell ref="B199:B204"/>
    <mergeCell ref="C3:C9"/>
    <mergeCell ref="C10:C16"/>
    <mergeCell ref="C17:C23"/>
    <mergeCell ref="C24:C30"/>
    <mergeCell ref="C31:C37"/>
    <mergeCell ref="C38:C44"/>
    <mergeCell ref="C45:C51"/>
    <mergeCell ref="C52:C58"/>
    <mergeCell ref="C59:C65"/>
    <mergeCell ref="C66:C72"/>
    <mergeCell ref="C73:C78"/>
    <mergeCell ref="C79:C84"/>
    <mergeCell ref="C85:C90"/>
    <mergeCell ref="C91:C96"/>
    <mergeCell ref="C97:C102"/>
    <mergeCell ref="C103:C108"/>
    <mergeCell ref="C109:C114"/>
    <mergeCell ref="C115:C120"/>
    <mergeCell ref="C121:C126"/>
    <mergeCell ref="C127:C132"/>
    <mergeCell ref="C133:C138"/>
    <mergeCell ref="C139:C144"/>
    <mergeCell ref="C145:C150"/>
    <mergeCell ref="C151:C156"/>
    <mergeCell ref="C157:C162"/>
    <mergeCell ref="C163:C168"/>
    <mergeCell ref="C169:C174"/>
    <mergeCell ref="C175:C180"/>
    <mergeCell ref="C181:C186"/>
    <mergeCell ref="C187:C192"/>
    <mergeCell ref="C193:C198"/>
    <mergeCell ref="C199:C204"/>
    <mergeCell ref="BQ97:BQ102"/>
    <mergeCell ref="BQ103:BQ108"/>
    <mergeCell ref="BQ121:BQ1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xlm</dc:creator>
  <cp:lastModifiedBy>初玖</cp:lastModifiedBy>
  <dcterms:created xsi:type="dcterms:W3CDTF">2015-06-05T18:17:00Z</dcterms:created>
  <dcterms:modified xsi:type="dcterms:W3CDTF">2025-06-23T17:04:47Z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EF06F29F3ACE4E8B9C3E3246F13A633A_12</vt:lpwstr>
  </property>
  <property fmtid="{D5CDD505-2E9C-101B-9397-08002B2CF9AE}" pid="3" name="KSOProductBuildVer">
    <vt:lpwstr>2052-12.1.0.21541</vt:lpwstr>
  </property>
</Properties>
</file>