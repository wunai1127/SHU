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 activeTab="1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<sst xmlns="http://schemas.openxmlformats.org/spreadsheetml/2006/main" count="250" uniqueCount="106">
  <si>
    <t>No.</t>
  </si>
  <si>
    <t>Exp.</t>
  </si>
  <si>
    <t>Time</t>
  </si>
  <si>
    <t>Blood Gas</t>
  </si>
  <si>
    <t>pH</t>
  </si>
  <si>
    <t>pO2</t>
  </si>
  <si>
    <t>Na+</t>
  </si>
  <si>
    <t>K+</t>
  </si>
  <si>
    <t>Ca++</t>
  </si>
  <si>
    <t>Cl-</t>
  </si>
  <si>
    <t>Glu</t>
  </si>
  <si>
    <t>Lac</t>
  </si>
  <si>
    <t>tHb</t>
  </si>
  <si>
    <t>HCO3-act</t>
  </si>
  <si>
    <t>O2SAT(est)</t>
  </si>
  <si>
    <t>Hct</t>
  </si>
  <si>
    <t>HTX 36</t>
  </si>
  <si>
    <t>30 min A</t>
  </si>
  <si>
    <t>30 min V</t>
  </si>
  <si>
    <t>1 hour A</t>
  </si>
  <si>
    <t>1 hour V</t>
  </si>
  <si>
    <t>2 hour A</t>
  </si>
  <si>
    <t>2 hour V</t>
  </si>
  <si>
    <t>3 hour A</t>
  </si>
  <si>
    <t>3 hour V</t>
  </si>
  <si>
    <t>4 hour A</t>
  </si>
  <si>
    <t>4 hour V</t>
  </si>
  <si>
    <t>Blood Gas - arterial</t>
  </si>
  <si>
    <t>Blood Gas - venous</t>
  </si>
  <si>
    <t>Hemodynamic parameters</t>
  </si>
  <si>
    <t>Metabolic parameters</t>
  </si>
  <si>
    <t>Cardiac functional parameters</t>
  </si>
  <si>
    <t>pig weight (kg)</t>
  </si>
  <si>
    <t>Heart weight (g)</t>
  </si>
  <si>
    <t>MAP (mmHg)</t>
  </si>
  <si>
    <t>AoF (L/min)</t>
  </si>
  <si>
    <t>CVR(mmHg min/mL 100g)</t>
  </si>
  <si>
    <t>MVO2 (mL/min/100g)</t>
  </si>
  <si>
    <t>Lac Extrac</t>
  </si>
  <si>
    <t>CaO2 (mL/100mL)</t>
  </si>
  <si>
    <t>CvO2 (mL/100mL)</t>
  </si>
  <si>
    <t>ESPVR</t>
  </si>
  <si>
    <t>EDPVR</t>
  </si>
  <si>
    <t>PRSW</t>
  </si>
  <si>
    <t>dP/dtmax vs EdV</t>
  </si>
  <si>
    <t>Emax</t>
  </si>
  <si>
    <t>V0</t>
  </si>
  <si>
    <t>End diastolic pressure</t>
  </si>
  <si>
    <t>End systolic pressure</t>
  </si>
  <si>
    <t>Developed pressure</t>
  </si>
  <si>
    <t>Systolic ejection period</t>
  </si>
  <si>
    <t>Diastolic filling period</t>
  </si>
  <si>
    <t>Mean systolic pressure</t>
  </si>
  <si>
    <t>Mean diastolic pressure</t>
  </si>
  <si>
    <t>Contraction time</t>
  </si>
  <si>
    <t>Relaxation time</t>
  </si>
  <si>
    <t>Max dPdt</t>
  </si>
  <si>
    <t>Min dPdt</t>
  </si>
  <si>
    <t>Contractility index</t>
  </si>
  <si>
    <t>Time constant of relaxation</t>
  </si>
  <si>
    <t>Maximum volume</t>
  </si>
  <si>
    <t>Minimum volume</t>
  </si>
  <si>
    <t>End diastolic volume</t>
  </si>
  <si>
    <t>End systolic volume</t>
  </si>
  <si>
    <t>Stroke volume</t>
  </si>
  <si>
    <t>Cardiac output</t>
  </si>
  <si>
    <t>Ejection fraction</t>
  </si>
  <si>
    <t>Stroke work</t>
  </si>
  <si>
    <t>Effective arterial elastance</t>
  </si>
  <si>
    <t>Maximal ventricular power</t>
  </si>
  <si>
    <t>Preload-adjusted maximal power</t>
  </si>
  <si>
    <t>Potential energy</t>
  </si>
  <si>
    <t>Pressure-volume area</t>
  </si>
  <si>
    <t>Efficiency</t>
  </si>
  <si>
    <t>Potential energy (MEC)</t>
  </si>
  <si>
    <t>Heart rate</t>
  </si>
  <si>
    <t>CI</t>
  </si>
  <si>
    <t>Success wean</t>
  </si>
  <si>
    <t xml:space="preserve">30 min </t>
  </si>
  <si>
    <t xml:space="preserve">1 hour </t>
  </si>
  <si>
    <t>2 hour</t>
  </si>
  <si>
    <t>3 hour</t>
  </si>
  <si>
    <t>4 hour</t>
  </si>
  <si>
    <t>PostTX</t>
  </si>
  <si>
    <t>HTX 35</t>
  </si>
  <si>
    <t>HTX 34</t>
  </si>
  <si>
    <t>PASW</t>
  </si>
  <si>
    <t>HTX 33</t>
  </si>
  <si>
    <t>HTX 32</t>
  </si>
  <si>
    <t>HTX 31</t>
  </si>
  <si>
    <t>HTX 30</t>
  </si>
  <si>
    <t>HTX 28</t>
  </si>
  <si>
    <t>Y</t>
  </si>
  <si>
    <t>HTX 37</t>
  </si>
  <si>
    <t>HTX 38</t>
  </si>
  <si>
    <t>HTX 39</t>
  </si>
  <si>
    <t>HTX 40</t>
  </si>
  <si>
    <t>HTX 41</t>
  </si>
  <si>
    <t>HTX 42</t>
  </si>
  <si>
    <t>no data</t>
  </si>
  <si>
    <t>HTX 27</t>
  </si>
  <si>
    <t>HTX 26</t>
  </si>
  <si>
    <t>HTX 25</t>
  </si>
  <si>
    <t>HTX 24</t>
  </si>
  <si>
    <t>HTX 23</t>
  </si>
  <si>
    <t>HTX 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</si>
</sst>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17" applyNumberFormat="0" applyAlignment="0" applyProtection="0">
      <alignment vertical="center"/>
    </xf>
    <xf numFmtId="0" fontId="14" fillId="12" borderId="18" applyNumberFormat="0" applyAlignment="0" applyProtection="0">
      <alignment vertical="center"/>
    </xf>
    <xf numFmtId="0" fontId="15" fillId="12" borderId="17" applyNumberFormat="0" applyAlignment="0" applyProtection="0">
      <alignment vertical="center"/>
    </xf>
    <xf numFmtId="0" fontId="16" fillId="13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" fillId="5" borderId="1" xfId="0" applyFont="1" applyFill="1" applyBorder="1"/>
    <xf numFmtId="0" fontId="0" fillId="0" borderId="4" xfId="0" applyBorder="1" applyAlignment="1">
      <alignment horizontal="center" vertical="center"/>
    </xf>
    <xf numFmtId="0" fontId="1" fillId="6" borderId="1" xfId="0" applyFont="1" applyFill="1" applyBorder="1"/>
    <xf numFmtId="0" fontId="1" fillId="2" borderId="1" xfId="0" applyFon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1" xfId="0" applyFont="1" applyFill="1" applyBorder="1"/>
    <xf numFmtId="0" fontId="0" fillId="0" borderId="0" xfId="0" applyAlignment="1">
      <alignment vertical="center"/>
    </xf>
    <xf numFmtId="0" fontId="0" fillId="8" borderId="1" xfId="0" applyFill="1" applyBorder="1"/>
    <xf numFmtId="0" fontId="0" fillId="9" borderId="1" xfId="0" applyFill="1" applyBorder="1"/>
    <xf numFmtId="0" fontId="0" fillId="0" borderId="0" xfId="0" applyBorder="1"/>
    <xf numFmtId="0" fontId="0" fillId="9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opLeftCell="A2" workbookViewId="0">
      <selection activeCell="D20" sqref="D20"/>
    </sheetView>
  </sheetViews>
  <sheetFormatPr defaultColWidth="9" defaultRowHeight="14.25"/>
  <cols>
    <col min="12" max="13" width="10.25" customWidth="1"/>
  </cols>
  <sheetData>
    <row r="1" spans="1:14">
      <c r="A1" t="s">
        <v>0</v>
      </c>
      <c r="B1" t="s">
        <v>1</v>
      </c>
      <c r="C1" t="s">
        <v>2</v>
      </c>
      <c r="D1" s="33" t="s">
        <v>3</v>
      </c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4:15"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14</v>
      </c>
      <c r="O2" s="20" t="s">
        <v>15</v>
      </c>
    </row>
    <row r="3" spans="1:15">
      <c r="A3">
        <v>1</v>
      </c>
      <c r="B3" t="s">
        <v>16</v>
      </c>
      <c r="C3" t="s">
        <v>17</v>
      </c>
      <c r="D3" s="20">
        <v>7.271</v>
      </c>
      <c r="E3" s="20">
        <v>239.1</v>
      </c>
      <c r="F3" s="20">
        <v>152.1</v>
      </c>
      <c r="G3" s="20">
        <v>3.94</v>
      </c>
      <c r="H3" s="20">
        <v>1.14</v>
      </c>
      <c r="I3" s="20">
        <v>108</v>
      </c>
      <c r="J3" s="20">
        <v>8.5</v>
      </c>
      <c r="K3" s="20">
        <v>3.94</v>
      </c>
      <c r="L3" s="20">
        <v>49</v>
      </c>
      <c r="M3" s="20">
        <v>21.7</v>
      </c>
      <c r="N3" s="20">
        <v>99.4</v>
      </c>
      <c r="O3" s="20">
        <v>14</v>
      </c>
    </row>
    <row r="4" spans="3:15">
      <c r="C4" t="s">
        <v>18</v>
      </c>
      <c r="D4" s="20">
        <v>7.281</v>
      </c>
      <c r="E4" s="20">
        <v>55.9</v>
      </c>
      <c r="F4" s="20">
        <v>136.9</v>
      </c>
      <c r="G4" s="20">
        <v>3.76</v>
      </c>
      <c r="H4" s="20">
        <v>1.2</v>
      </c>
      <c r="I4" s="20">
        <v>107</v>
      </c>
      <c r="J4" s="20">
        <v>8.6</v>
      </c>
      <c r="K4" s="20">
        <v>4.16</v>
      </c>
      <c r="L4" s="20">
        <v>49</v>
      </c>
      <c r="M4" s="20">
        <v>24.1</v>
      </c>
      <c r="N4" s="20">
        <v>84.9</v>
      </c>
      <c r="O4" s="20">
        <v>14</v>
      </c>
    </row>
    <row r="5" spans="3:15">
      <c r="C5" t="s">
        <v>19</v>
      </c>
      <c r="D5" s="20">
        <v>7.337</v>
      </c>
      <c r="E5" s="20">
        <v>231.9</v>
      </c>
      <c r="F5" s="20">
        <v>135</v>
      </c>
      <c r="G5" s="20">
        <v>3.53</v>
      </c>
      <c r="H5" s="20">
        <v>1.32</v>
      </c>
      <c r="I5" s="20">
        <v>107</v>
      </c>
      <c r="J5" s="20">
        <v>8.9</v>
      </c>
      <c r="K5" s="20">
        <v>4.94</v>
      </c>
      <c r="L5" s="20">
        <v>51</v>
      </c>
      <c r="M5" s="20">
        <v>22.2</v>
      </c>
      <c r="N5" s="20">
        <v>99.5</v>
      </c>
      <c r="O5" s="20">
        <v>15</v>
      </c>
    </row>
    <row r="6" spans="3:15">
      <c r="C6" t="s">
        <v>20</v>
      </c>
      <c r="D6" s="20">
        <v>7.324</v>
      </c>
      <c r="E6" s="20">
        <v>59.2</v>
      </c>
      <c r="F6" s="20">
        <v>134.2</v>
      </c>
      <c r="G6" s="20">
        <v>3.52</v>
      </c>
      <c r="H6" s="20">
        <v>1.33</v>
      </c>
      <c r="I6" s="20">
        <v>107</v>
      </c>
      <c r="J6" s="20">
        <v>8.7</v>
      </c>
      <c r="K6" s="20">
        <v>4.55</v>
      </c>
      <c r="L6" s="20">
        <v>50</v>
      </c>
      <c r="M6" s="20">
        <v>21.7</v>
      </c>
      <c r="N6" s="20">
        <v>88.7</v>
      </c>
      <c r="O6" s="20">
        <v>15</v>
      </c>
    </row>
    <row r="7" spans="3:15">
      <c r="C7" t="s">
        <v>21</v>
      </c>
      <c r="D7" s="20">
        <v>7.465</v>
      </c>
      <c r="E7" s="20">
        <v>238.6</v>
      </c>
      <c r="F7" s="20">
        <v>132.5</v>
      </c>
      <c r="G7" s="20">
        <v>3.53</v>
      </c>
      <c r="H7" s="20">
        <v>1.27</v>
      </c>
      <c r="I7" s="20">
        <v>106</v>
      </c>
      <c r="J7" s="20">
        <v>10.9</v>
      </c>
      <c r="K7" s="20">
        <v>4.12</v>
      </c>
      <c r="L7" s="20">
        <v>49</v>
      </c>
      <c r="M7" s="20">
        <v>19.1</v>
      </c>
      <c r="N7" s="20">
        <v>99.6</v>
      </c>
      <c r="O7" s="20">
        <v>14</v>
      </c>
    </row>
    <row r="8" spans="3:15">
      <c r="C8" t="s">
        <v>22</v>
      </c>
      <c r="D8" s="20">
        <v>7.469</v>
      </c>
      <c r="E8" s="20">
        <v>67.2</v>
      </c>
      <c r="F8" s="20">
        <v>132.4</v>
      </c>
      <c r="G8" s="20">
        <v>3.53</v>
      </c>
      <c r="H8" s="20">
        <v>1.28</v>
      </c>
      <c r="I8" s="20">
        <v>105</v>
      </c>
      <c r="J8" s="20">
        <v>10.8</v>
      </c>
      <c r="K8" s="20">
        <v>3.79</v>
      </c>
      <c r="L8" s="20">
        <v>49</v>
      </c>
      <c r="M8" s="20">
        <v>19.2</v>
      </c>
      <c r="N8" s="20">
        <v>94.8</v>
      </c>
      <c r="O8" s="20">
        <v>14</v>
      </c>
    </row>
    <row r="9" spans="3:15">
      <c r="C9" t="s">
        <v>23</v>
      </c>
      <c r="D9" s="20">
        <v>7.533</v>
      </c>
      <c r="E9" s="20">
        <v>255.7</v>
      </c>
      <c r="F9" s="20">
        <v>131.5</v>
      </c>
      <c r="G9" s="20">
        <v>3.62</v>
      </c>
      <c r="H9" s="20">
        <v>1.23</v>
      </c>
      <c r="I9" s="20">
        <v>106</v>
      </c>
      <c r="J9" s="20">
        <v>11.9</v>
      </c>
      <c r="K9" s="20">
        <v>3.47</v>
      </c>
      <c r="L9" s="20">
        <v>49</v>
      </c>
      <c r="M9" s="20">
        <v>21.6</v>
      </c>
      <c r="N9" s="20">
        <v>99.7</v>
      </c>
      <c r="O9" s="20">
        <v>14</v>
      </c>
    </row>
    <row r="10" spans="3:16">
      <c r="C10" t="s">
        <v>24</v>
      </c>
      <c r="D10" s="20">
        <v>7.514</v>
      </c>
      <c r="E10" s="20">
        <v>52.1</v>
      </c>
      <c r="F10" s="20">
        <v>129.9</v>
      </c>
      <c r="G10" s="20">
        <v>3.68</v>
      </c>
      <c r="H10" s="20">
        <v>1.23</v>
      </c>
      <c r="I10" s="20">
        <v>105</v>
      </c>
      <c r="J10" s="20">
        <v>12.3</v>
      </c>
      <c r="K10" s="20">
        <v>2.8</v>
      </c>
      <c r="L10" s="20">
        <v>48</v>
      </c>
      <c r="M10" s="20">
        <v>20.5</v>
      </c>
      <c r="N10" s="20">
        <v>90.9</v>
      </c>
      <c r="O10" s="20">
        <v>14</v>
      </c>
      <c r="P10" s="20"/>
    </row>
    <row r="11" spans="3:15">
      <c r="C11" t="s">
        <v>25</v>
      </c>
      <c r="D11" s="20">
        <v>7.368</v>
      </c>
      <c r="E11" s="20">
        <v>240.4</v>
      </c>
      <c r="F11" s="20">
        <v>122.5</v>
      </c>
      <c r="G11" s="20">
        <v>4.39</v>
      </c>
      <c r="H11" s="20">
        <v>1.15</v>
      </c>
      <c r="I11" s="20">
        <v>100</v>
      </c>
      <c r="J11" s="20">
        <v>15.5</v>
      </c>
      <c r="K11" s="20">
        <v>2.21</v>
      </c>
      <c r="L11" s="20">
        <v>46</v>
      </c>
      <c r="M11" s="20">
        <v>19.4</v>
      </c>
      <c r="N11" s="20">
        <v>99.5</v>
      </c>
      <c r="O11" s="20">
        <v>14</v>
      </c>
    </row>
    <row r="12" spans="3:15">
      <c r="C12" t="s">
        <v>26</v>
      </c>
      <c r="D12" s="20">
        <v>7.367</v>
      </c>
      <c r="E12" s="20">
        <v>106.4</v>
      </c>
      <c r="F12" s="20">
        <v>122.5</v>
      </c>
      <c r="G12" s="20">
        <v>4.43</v>
      </c>
      <c r="H12" s="20">
        <v>1.16</v>
      </c>
      <c r="I12" s="20">
        <v>100</v>
      </c>
      <c r="J12" s="20">
        <v>15.1</v>
      </c>
      <c r="K12" s="20">
        <v>2.02</v>
      </c>
      <c r="L12" s="20">
        <v>44</v>
      </c>
      <c r="M12" s="20">
        <v>18.8</v>
      </c>
      <c r="N12" s="20">
        <v>97.8</v>
      </c>
      <c r="O12" s="20">
        <v>13</v>
      </c>
    </row>
  </sheetData>
  <mergeCells count="1">
    <mergeCell ref="D1:N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22"/>
  <sheetViews>
    <sheetView tabSelected="1" zoomScale="85" zoomScaleNormal="85" workbookViewId="0">
      <pane xSplit="3" ySplit="2" topLeftCell="M63" activePane="bottomRight" state="frozen"/>
      <selection/>
      <selection pane="topRight"/>
      <selection pane="bottomLeft"/>
      <selection pane="bottomRight" activeCell="Q65" sqref="Q65"/>
    </sheetView>
  </sheetViews>
  <sheetFormatPr defaultColWidth="9" defaultRowHeight="14.25"/>
  <cols>
    <col min="1" max="4" width="8.66666666666667" style="2"/>
    <col min="5" max="5" width="11.25" style="2" customWidth="1"/>
    <col min="6" max="13" width="8.66666666666667" style="2"/>
    <col min="14" max="15" width="10.25" style="2" customWidth="1"/>
    <col min="16" max="31" width="8.66666666666667" style="2"/>
    <col min="32" max="32" width="21.3333333333333" style="2" customWidth="1"/>
    <col min="33" max="36" width="8.66666666666667" style="2"/>
    <col min="37" max="38" width="8.66666666666667" style="3"/>
    <col min="39" max="39" width="7.66666666666667" style="3" customWidth="1"/>
    <col min="40" max="42" width="8.66666666666667" style="3"/>
    <col min="43" max="16384" width="8.66666666666667" style="2"/>
  </cols>
  <sheetData>
    <row r="1" spans="1:72">
      <c r="A1" s="2" t="s">
        <v>0</v>
      </c>
      <c r="B1" s="2" t="s">
        <v>1</v>
      </c>
      <c r="C1" s="2" t="s">
        <v>2</v>
      </c>
      <c r="F1" s="4" t="s">
        <v>27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14" t="s">
        <v>28</v>
      </c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6" t="s">
        <v>29</v>
      </c>
      <c r="AE1" s="17"/>
      <c r="AF1" s="18"/>
      <c r="AG1" s="16" t="s">
        <v>30</v>
      </c>
      <c r="AH1" s="17"/>
      <c r="AI1" s="17"/>
      <c r="AJ1" s="18"/>
      <c r="AK1" s="16" t="s">
        <v>31</v>
      </c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8"/>
    </row>
    <row r="2" spans="4:73">
      <c r="D2" s="2" t="s">
        <v>32</v>
      </c>
      <c r="E2" s="2" t="s">
        <v>33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15" t="s">
        <v>4</v>
      </c>
      <c r="S2" s="15" t="s">
        <v>5</v>
      </c>
      <c r="T2" s="15" t="s">
        <v>6</v>
      </c>
      <c r="U2" s="15" t="s">
        <v>7</v>
      </c>
      <c r="V2" s="15" t="s">
        <v>8</v>
      </c>
      <c r="W2" s="15" t="s">
        <v>9</v>
      </c>
      <c r="X2" s="15" t="s">
        <v>10</v>
      </c>
      <c r="Y2" s="15" t="s">
        <v>11</v>
      </c>
      <c r="Z2" s="15" t="s">
        <v>12</v>
      </c>
      <c r="AA2" s="15" t="s">
        <v>13</v>
      </c>
      <c r="AB2" s="15" t="s">
        <v>14</v>
      </c>
      <c r="AC2" s="15" t="s">
        <v>15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3" t="s">
        <v>41</v>
      </c>
      <c r="AL2" s="3" t="s">
        <v>42</v>
      </c>
      <c r="AM2" s="3" t="s">
        <v>43</v>
      </c>
      <c r="AN2" s="3" t="s">
        <v>44</v>
      </c>
      <c r="AO2" s="3" t="s">
        <v>45</v>
      </c>
      <c r="AP2" s="3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1" t="s">
        <v>60</v>
      </c>
      <c r="BE2" s="21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2" t="s">
        <v>68</v>
      </c>
      <c r="BM2" s="2" t="s">
        <v>69</v>
      </c>
      <c r="BN2" s="2" t="s">
        <v>70</v>
      </c>
      <c r="BO2" s="24" t="s">
        <v>71</v>
      </c>
      <c r="BP2" s="24" t="s">
        <v>72</v>
      </c>
      <c r="BQ2" s="24" t="s">
        <v>73</v>
      </c>
      <c r="BR2" s="2" t="s">
        <v>74</v>
      </c>
      <c r="BS2" s="2" t="s">
        <v>75</v>
      </c>
      <c r="BT2" s="2" t="s">
        <v>76</v>
      </c>
      <c r="BU2" s="2" t="s">
        <v>77</v>
      </c>
    </row>
    <row r="3" spans="1:36">
      <c r="A3" s="6">
        <v>1</v>
      </c>
      <c r="B3" s="6" t="s">
        <v>16</v>
      </c>
      <c r="C3" s="7" t="s">
        <v>78</v>
      </c>
      <c r="D3" s="2">
        <v>44.7</v>
      </c>
      <c r="E3" s="2">
        <v>294</v>
      </c>
      <c r="F3" s="8">
        <v>7.271</v>
      </c>
      <c r="G3" s="8">
        <v>239.1</v>
      </c>
      <c r="H3" s="8">
        <v>152.1</v>
      </c>
      <c r="I3" s="8">
        <v>3.94</v>
      </c>
      <c r="J3" s="8">
        <v>1.14</v>
      </c>
      <c r="K3" s="8">
        <v>108</v>
      </c>
      <c r="L3" s="8">
        <v>8.5</v>
      </c>
      <c r="M3" s="8">
        <v>3.94</v>
      </c>
      <c r="N3" s="8">
        <v>49</v>
      </c>
      <c r="O3" s="8">
        <v>21.7</v>
      </c>
      <c r="P3" s="8">
        <v>99.4</v>
      </c>
      <c r="Q3" s="8">
        <v>14</v>
      </c>
      <c r="R3" s="8">
        <v>7.281</v>
      </c>
      <c r="S3" s="8">
        <v>55.9</v>
      </c>
      <c r="T3" s="8">
        <v>136.9</v>
      </c>
      <c r="U3" s="8">
        <v>3.76</v>
      </c>
      <c r="V3" s="8">
        <v>1.2</v>
      </c>
      <c r="W3" s="8">
        <v>107</v>
      </c>
      <c r="X3" s="8">
        <v>8.6</v>
      </c>
      <c r="Y3" s="8">
        <v>4.16</v>
      </c>
      <c r="Z3" s="8">
        <v>49</v>
      </c>
      <c r="AA3" s="8">
        <v>24.1</v>
      </c>
      <c r="AB3" s="8">
        <v>84.9</v>
      </c>
      <c r="AC3" s="8">
        <v>14</v>
      </c>
      <c r="AD3" s="8">
        <v>45</v>
      </c>
      <c r="AE3" s="2">
        <v>0.65845</v>
      </c>
      <c r="AF3" s="2">
        <f>AD3/AE3/1000/E3*100</f>
        <v>0.0232456867628212</v>
      </c>
      <c r="AG3" s="2">
        <f>AE3*1000*((1.34*Z3/10*P3/100+0.0031*G3)-(1.34*N3/10*AB3/100+0.0031*S3))/(E3/100)/100</f>
        <v>3.4042088962585</v>
      </c>
      <c r="AH3" s="2">
        <f>Y3-M3</f>
        <v>0.22</v>
      </c>
      <c r="AI3" s="2">
        <f>(1.34*Z3/10*P3/100+0.0031*G3)</f>
        <v>7.267814</v>
      </c>
      <c r="AJ3" s="2">
        <f>(1.34*N3/10*AB3/100+0.0031*S3)</f>
        <v>5.747824</v>
      </c>
    </row>
    <row r="4" spans="1:36">
      <c r="A4" s="9"/>
      <c r="B4" s="9"/>
      <c r="C4" s="7" t="s">
        <v>79</v>
      </c>
      <c r="D4" s="2">
        <v>44.7</v>
      </c>
      <c r="E4" s="2">
        <v>294</v>
      </c>
      <c r="F4" s="8">
        <v>7.337</v>
      </c>
      <c r="G4" s="8">
        <v>231.9</v>
      </c>
      <c r="H4" s="8">
        <v>135</v>
      </c>
      <c r="I4" s="8">
        <v>3.53</v>
      </c>
      <c r="J4" s="8">
        <v>1.32</v>
      </c>
      <c r="K4" s="8">
        <v>107</v>
      </c>
      <c r="L4" s="8">
        <v>8.9</v>
      </c>
      <c r="M4" s="8">
        <v>4.94</v>
      </c>
      <c r="N4" s="8">
        <v>51</v>
      </c>
      <c r="O4" s="8">
        <v>22.2</v>
      </c>
      <c r="P4" s="8">
        <v>99.5</v>
      </c>
      <c r="Q4" s="8">
        <v>15</v>
      </c>
      <c r="R4" s="8">
        <v>7.324</v>
      </c>
      <c r="S4" s="8">
        <v>59.2</v>
      </c>
      <c r="T4" s="8">
        <v>134.2</v>
      </c>
      <c r="U4" s="8">
        <v>3.52</v>
      </c>
      <c r="V4" s="8">
        <v>1.33</v>
      </c>
      <c r="W4" s="8">
        <v>107</v>
      </c>
      <c r="X4" s="8">
        <v>8.7</v>
      </c>
      <c r="Y4" s="8">
        <v>4.55</v>
      </c>
      <c r="Z4" s="8">
        <v>50</v>
      </c>
      <c r="AA4" s="8">
        <v>21.7</v>
      </c>
      <c r="AB4" s="8">
        <v>88.7</v>
      </c>
      <c r="AC4" s="8">
        <v>15</v>
      </c>
      <c r="AD4" s="8">
        <v>51</v>
      </c>
      <c r="AE4" s="2">
        <v>0.736</v>
      </c>
      <c r="AF4" s="2">
        <f t="shared" ref="AF4:AF41" si="0">AD4/AE4/1000/E4*100</f>
        <v>0.0235692102928128</v>
      </c>
      <c r="AG4" s="2">
        <f t="shared" ref="AG4:AG7" si="1">AE4*1000*((1.34*Z4/10*P4/100+0.0031*G4)-(1.34*N4/10*AB4/100+0.0031*S4))/(E4/100)/100</f>
        <v>2.85415793197279</v>
      </c>
      <c r="AH4" s="2">
        <f t="shared" ref="AH4:AH7" si="2">Y4-M4</f>
        <v>-0.390000000000001</v>
      </c>
      <c r="AI4" s="2">
        <f t="shared" ref="AI4:AI7" si="3">(1.34*Z4/10*P4/100+0.0031*G4)</f>
        <v>7.38539</v>
      </c>
      <c r="AJ4" s="2">
        <f t="shared" ref="AJ4:AJ7" si="4">(1.34*N4/10*AB4/100+0.0031*S4)</f>
        <v>6.245278</v>
      </c>
    </row>
    <row r="5" spans="1:36">
      <c r="A5" s="9"/>
      <c r="B5" s="9"/>
      <c r="C5" s="7" t="s">
        <v>80</v>
      </c>
      <c r="D5" s="2">
        <v>44.7</v>
      </c>
      <c r="E5" s="2">
        <v>294</v>
      </c>
      <c r="F5" s="8">
        <v>7.465</v>
      </c>
      <c r="G5" s="8">
        <v>238.6</v>
      </c>
      <c r="H5" s="8">
        <v>132.5</v>
      </c>
      <c r="I5" s="8">
        <v>3.53</v>
      </c>
      <c r="J5" s="8">
        <v>1.27</v>
      </c>
      <c r="K5" s="8">
        <v>106</v>
      </c>
      <c r="L5" s="8">
        <v>10.9</v>
      </c>
      <c r="M5" s="8">
        <v>4.12</v>
      </c>
      <c r="N5" s="8">
        <v>49</v>
      </c>
      <c r="O5" s="8">
        <v>19.1</v>
      </c>
      <c r="P5" s="8">
        <v>99.6</v>
      </c>
      <c r="Q5" s="8">
        <v>14</v>
      </c>
      <c r="R5" s="8">
        <v>7.469</v>
      </c>
      <c r="S5" s="8">
        <v>67.2</v>
      </c>
      <c r="T5" s="8">
        <v>132.4</v>
      </c>
      <c r="U5" s="8">
        <v>3.53</v>
      </c>
      <c r="V5" s="8">
        <v>1.28</v>
      </c>
      <c r="W5" s="8">
        <v>105</v>
      </c>
      <c r="X5" s="8">
        <v>10.8</v>
      </c>
      <c r="Y5" s="8">
        <v>3.79</v>
      </c>
      <c r="Z5" s="8">
        <v>49</v>
      </c>
      <c r="AA5" s="8">
        <v>19.2</v>
      </c>
      <c r="AB5" s="8">
        <v>94.8</v>
      </c>
      <c r="AC5" s="8">
        <v>14</v>
      </c>
      <c r="AD5" s="8">
        <v>51</v>
      </c>
      <c r="AE5" s="2">
        <v>0.782</v>
      </c>
      <c r="AF5" s="2">
        <f t="shared" si="0"/>
        <v>0.0221827861579414</v>
      </c>
      <c r="AG5" s="2">
        <f t="shared" si="1"/>
        <v>2.25159610884354</v>
      </c>
      <c r="AH5" s="2">
        <f t="shared" si="2"/>
        <v>-0.33</v>
      </c>
      <c r="AI5" s="2">
        <f t="shared" si="3"/>
        <v>7.279396</v>
      </c>
      <c r="AJ5" s="2">
        <f t="shared" si="4"/>
        <v>6.432888</v>
      </c>
    </row>
    <row r="6" spans="1:36">
      <c r="A6" s="9"/>
      <c r="B6" s="9"/>
      <c r="C6" s="7" t="s">
        <v>81</v>
      </c>
      <c r="D6" s="2">
        <v>44.7</v>
      </c>
      <c r="E6" s="2">
        <v>294</v>
      </c>
      <c r="F6" s="8">
        <v>7.533</v>
      </c>
      <c r="G6" s="8">
        <v>255.7</v>
      </c>
      <c r="H6" s="8">
        <v>131.5</v>
      </c>
      <c r="I6" s="8">
        <v>3.62</v>
      </c>
      <c r="J6" s="8">
        <v>1.23</v>
      </c>
      <c r="K6" s="8">
        <v>106</v>
      </c>
      <c r="L6" s="8">
        <v>11.9</v>
      </c>
      <c r="M6" s="8">
        <v>3.47</v>
      </c>
      <c r="N6" s="8">
        <v>49</v>
      </c>
      <c r="O6" s="8">
        <v>21.6</v>
      </c>
      <c r="P6" s="8">
        <v>99.7</v>
      </c>
      <c r="Q6" s="8">
        <v>14</v>
      </c>
      <c r="R6" s="8">
        <v>7.514</v>
      </c>
      <c r="S6" s="8">
        <v>52.1</v>
      </c>
      <c r="T6" s="8">
        <v>129.9</v>
      </c>
      <c r="U6" s="8">
        <v>3.68</v>
      </c>
      <c r="V6" s="8">
        <v>1.23</v>
      </c>
      <c r="W6" s="8">
        <v>105</v>
      </c>
      <c r="X6" s="8">
        <v>12.3</v>
      </c>
      <c r="Y6" s="8">
        <v>2.8</v>
      </c>
      <c r="Z6" s="8">
        <v>48</v>
      </c>
      <c r="AA6" s="8">
        <v>20.5</v>
      </c>
      <c r="AB6" s="8">
        <v>90.9</v>
      </c>
      <c r="AC6" s="8">
        <v>14</v>
      </c>
      <c r="AD6" s="8">
        <v>51</v>
      </c>
      <c r="AE6" s="2">
        <v>0.595</v>
      </c>
      <c r="AF6" s="2">
        <f t="shared" si="0"/>
        <v>0.0291545189504373</v>
      </c>
      <c r="AG6" s="2">
        <f t="shared" si="1"/>
        <v>2.17634404761905</v>
      </c>
      <c r="AH6" s="2">
        <f t="shared" si="2"/>
        <v>-0.67</v>
      </c>
      <c r="AI6" s="2">
        <f t="shared" si="3"/>
        <v>7.205374</v>
      </c>
      <c r="AJ6" s="2">
        <f t="shared" si="4"/>
        <v>6.130004</v>
      </c>
    </row>
    <row r="7" spans="1:72">
      <c r="A7" s="9"/>
      <c r="B7" s="9"/>
      <c r="C7" s="10" t="s">
        <v>82</v>
      </c>
      <c r="D7" s="2">
        <v>44.7</v>
      </c>
      <c r="E7" s="2">
        <v>294</v>
      </c>
      <c r="F7" s="8">
        <v>7.368</v>
      </c>
      <c r="G7" s="8">
        <v>240.4</v>
      </c>
      <c r="H7" s="8">
        <v>122.5</v>
      </c>
      <c r="I7" s="8">
        <v>4.39</v>
      </c>
      <c r="J7" s="8">
        <v>1.15</v>
      </c>
      <c r="K7" s="8">
        <v>100</v>
      </c>
      <c r="L7" s="8">
        <v>15.5</v>
      </c>
      <c r="M7" s="8">
        <v>2.21</v>
      </c>
      <c r="N7" s="8">
        <v>46</v>
      </c>
      <c r="O7" s="8">
        <v>19.4</v>
      </c>
      <c r="P7" s="8">
        <v>99.5</v>
      </c>
      <c r="Q7" s="8">
        <v>14</v>
      </c>
      <c r="R7" s="8">
        <v>7.367</v>
      </c>
      <c r="S7" s="8">
        <v>106.4</v>
      </c>
      <c r="T7" s="8">
        <v>122.5</v>
      </c>
      <c r="U7" s="8">
        <v>4.43</v>
      </c>
      <c r="V7" s="8">
        <v>1.16</v>
      </c>
      <c r="W7" s="8">
        <v>100</v>
      </c>
      <c r="X7" s="8">
        <v>15.1</v>
      </c>
      <c r="Y7" s="8">
        <v>2.02</v>
      </c>
      <c r="Z7" s="8">
        <v>44</v>
      </c>
      <c r="AA7" s="8">
        <v>18.8</v>
      </c>
      <c r="AB7" s="8">
        <v>97.8</v>
      </c>
      <c r="AC7" s="8">
        <v>13</v>
      </c>
      <c r="AD7" s="8">
        <v>58</v>
      </c>
      <c r="AE7" s="2">
        <v>1.128</v>
      </c>
      <c r="AF7" s="2">
        <f t="shared" si="0"/>
        <v>0.01748926520963</v>
      </c>
      <c r="AG7" s="2">
        <f t="shared" si="1"/>
        <v>0.972719673469388</v>
      </c>
      <c r="AH7" s="2">
        <f t="shared" si="2"/>
        <v>-0.19</v>
      </c>
      <c r="AI7" s="2">
        <f t="shared" si="3"/>
        <v>6.61176</v>
      </c>
      <c r="AJ7" s="2">
        <f t="shared" si="4"/>
        <v>6.358232</v>
      </c>
      <c r="AK7" s="3">
        <v>4</v>
      </c>
      <c r="AL7" s="3">
        <v>0.39</v>
      </c>
      <c r="AM7" s="3">
        <v>31.07</v>
      </c>
      <c r="AN7" s="3">
        <v>24.83</v>
      </c>
      <c r="AO7" s="3">
        <v>11.65</v>
      </c>
      <c r="AP7" s="3">
        <v>14.09</v>
      </c>
      <c r="AQ7" s="2">
        <v>14</v>
      </c>
      <c r="AR7" s="2">
        <v>98</v>
      </c>
      <c r="AS7" s="2">
        <v>104</v>
      </c>
      <c r="AT7" s="2">
        <v>109</v>
      </c>
      <c r="AU7" s="2">
        <v>231</v>
      </c>
      <c r="AV7" s="2">
        <v>100</v>
      </c>
      <c r="AW7" s="2">
        <v>13</v>
      </c>
      <c r="AX7" s="2">
        <v>58</v>
      </c>
      <c r="AY7" s="2">
        <v>103</v>
      </c>
      <c r="AZ7" s="2">
        <v>1866</v>
      </c>
      <c r="BA7" s="2">
        <v>-1397</v>
      </c>
      <c r="BB7" s="2">
        <v>40</v>
      </c>
      <c r="BC7" s="2">
        <v>39</v>
      </c>
      <c r="BF7" s="2">
        <v>46</v>
      </c>
      <c r="BG7" s="2">
        <v>33</v>
      </c>
      <c r="BH7" s="2">
        <v>13</v>
      </c>
      <c r="BI7" s="2">
        <v>1588</v>
      </c>
      <c r="BJ7" s="2">
        <v>29</v>
      </c>
      <c r="BK7" s="2">
        <v>603</v>
      </c>
      <c r="BM7" s="2">
        <v>5499</v>
      </c>
      <c r="BN7" s="2">
        <v>3</v>
      </c>
      <c r="BR7" s="2">
        <v>931</v>
      </c>
      <c r="BS7" s="2">
        <v>120</v>
      </c>
      <c r="BT7" s="2">
        <f>BI7/(0.0734*(POWER(D7,0.656)))</f>
        <v>1788.76258789961</v>
      </c>
    </row>
    <row r="8" spans="1:72">
      <c r="A8" s="11"/>
      <c r="B8" s="11"/>
      <c r="C8" s="12" t="s">
        <v>83</v>
      </c>
      <c r="D8" s="2">
        <v>40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K8" s="3">
        <v>6.01</v>
      </c>
      <c r="AL8" s="3">
        <v>0.02</v>
      </c>
      <c r="AM8" s="3">
        <v>11.85</v>
      </c>
      <c r="AN8" s="3">
        <v>114.77</v>
      </c>
      <c r="AO8" s="3">
        <v>8.74</v>
      </c>
      <c r="AP8" s="3">
        <v>2.41</v>
      </c>
      <c r="AQ8" s="8">
        <v>3</v>
      </c>
      <c r="AR8" s="8">
        <v>47</v>
      </c>
      <c r="AS8" s="8">
        <v>54</v>
      </c>
      <c r="AT8" s="8">
        <v>63</v>
      </c>
      <c r="AU8" s="8">
        <v>190</v>
      </c>
      <c r="AV8" s="8">
        <v>51</v>
      </c>
      <c r="AW8" s="8">
        <v>2</v>
      </c>
      <c r="AX8" s="8">
        <v>38</v>
      </c>
      <c r="AY8" s="8">
        <v>82</v>
      </c>
      <c r="AZ8" s="8">
        <v>1701</v>
      </c>
      <c r="BA8" s="8">
        <v>-1173</v>
      </c>
      <c r="BB8" s="8">
        <v>47</v>
      </c>
      <c r="BC8" s="8">
        <v>14</v>
      </c>
      <c r="BD8" s="8"/>
      <c r="BE8" s="8"/>
      <c r="BF8" s="8">
        <v>9</v>
      </c>
      <c r="BG8" s="8">
        <v>5</v>
      </c>
      <c r="BH8" s="8">
        <v>8</v>
      </c>
      <c r="BI8" s="8">
        <v>1370</v>
      </c>
      <c r="BJ8" s="8">
        <v>73</v>
      </c>
      <c r="BK8" s="8">
        <v>236</v>
      </c>
      <c r="BL8" s="8"/>
      <c r="BM8" s="8">
        <v>1369</v>
      </c>
      <c r="BN8" s="8">
        <v>18</v>
      </c>
      <c r="BO8" s="8"/>
      <c r="BP8" s="8"/>
      <c r="BQ8" s="8"/>
      <c r="BR8" s="8">
        <v>216</v>
      </c>
      <c r="BS8" s="8">
        <v>163</v>
      </c>
      <c r="BT8" s="2">
        <f>BI8/(0.0734*(POWER(D8,0.656)))</f>
        <v>1659.86647320187</v>
      </c>
    </row>
    <row r="9" spans="1:72">
      <c r="A9" s="6">
        <v>2</v>
      </c>
      <c r="B9" s="6" t="s">
        <v>84</v>
      </c>
      <c r="C9" s="7" t="s">
        <v>78</v>
      </c>
      <c r="E9" s="2">
        <v>223</v>
      </c>
      <c r="F9" s="8">
        <v>7.237</v>
      </c>
      <c r="G9" s="2">
        <v>237.8</v>
      </c>
      <c r="H9" s="2">
        <v>134.6</v>
      </c>
      <c r="I9" s="2">
        <v>4.12</v>
      </c>
      <c r="J9" s="2">
        <v>0.8</v>
      </c>
      <c r="K9" s="2">
        <v>108</v>
      </c>
      <c r="L9" s="2">
        <v>8.5</v>
      </c>
      <c r="M9" s="2">
        <v>3.8</v>
      </c>
      <c r="N9" s="2">
        <v>50</v>
      </c>
      <c r="O9" s="2">
        <v>21.8</v>
      </c>
      <c r="P9" s="2">
        <v>99.4</v>
      </c>
      <c r="Q9" s="2">
        <v>14</v>
      </c>
      <c r="R9" s="2">
        <v>7.214</v>
      </c>
      <c r="S9" s="2">
        <v>49.8</v>
      </c>
      <c r="T9" s="2">
        <v>133.2</v>
      </c>
      <c r="U9" s="2">
        <v>4.09</v>
      </c>
      <c r="V9" s="2">
        <v>0.81</v>
      </c>
      <c r="W9" s="2">
        <v>108</v>
      </c>
      <c r="X9" s="2">
        <v>8.4</v>
      </c>
      <c r="Y9" s="2">
        <v>3.53</v>
      </c>
      <c r="Z9" s="2">
        <v>50</v>
      </c>
      <c r="AA9" s="2">
        <v>21</v>
      </c>
      <c r="AB9" s="2">
        <v>76.8</v>
      </c>
      <c r="AC9" s="2">
        <v>15</v>
      </c>
      <c r="AF9" s="2" t="e">
        <f t="shared" si="0"/>
        <v>#DIV/0!</v>
      </c>
      <c r="AG9" s="2">
        <f t="shared" ref="AG9:AG43" si="5">AE9*1000*((1.34*Z9/10*P9/100+0.0031*G9)-(1.34*N9/10*AB9/100+0.0031*S9))/(E9/100)/100</f>
        <v>0</v>
      </c>
      <c r="AH9" s="2">
        <f t="shared" ref="AH9:AH43" si="6">Y9-M9</f>
        <v>-0.27</v>
      </c>
      <c r="AI9" s="2">
        <f t="shared" ref="AI9:AI43" si="7">(1.34*Z9/10*P9/100+0.0031*G9)</f>
        <v>7.39698</v>
      </c>
      <c r="AJ9" s="2">
        <f t="shared" ref="AJ9:AJ43" si="8">(1.34*N9/10*AB9/100+0.0031*S9)</f>
        <v>5.29998</v>
      </c>
      <c r="BT9" s="2" t="e">
        <f t="shared" ref="BT9:BT72" si="9">BI9/(0.0734*(POWER(D9,0.656)))</f>
        <v>#DIV/0!</v>
      </c>
    </row>
    <row r="10" spans="1:72">
      <c r="A10" s="9"/>
      <c r="B10" s="9"/>
      <c r="C10" s="7" t="s">
        <v>79</v>
      </c>
      <c r="E10" s="2">
        <v>223</v>
      </c>
      <c r="F10" s="8">
        <v>7.558</v>
      </c>
      <c r="G10" s="2">
        <v>229.5</v>
      </c>
      <c r="H10" s="2">
        <v>138.9</v>
      </c>
      <c r="I10" s="2">
        <v>3.33</v>
      </c>
      <c r="J10" s="2">
        <v>1.21</v>
      </c>
      <c r="K10" s="2">
        <v>110</v>
      </c>
      <c r="L10" s="2">
        <v>5.8</v>
      </c>
      <c r="M10" s="2">
        <v>1.01</v>
      </c>
      <c r="N10" s="2">
        <v>51</v>
      </c>
      <c r="O10" s="2">
        <v>26</v>
      </c>
      <c r="P10" s="2">
        <v>99.6</v>
      </c>
      <c r="Q10" s="2">
        <v>15</v>
      </c>
      <c r="R10" s="2">
        <v>7.514</v>
      </c>
      <c r="S10" s="2">
        <v>42.9</v>
      </c>
      <c r="T10" s="2">
        <v>139.3</v>
      </c>
      <c r="U10" s="2">
        <v>3.28</v>
      </c>
      <c r="V10" s="2">
        <v>1.21</v>
      </c>
      <c r="W10" s="2">
        <v>110</v>
      </c>
      <c r="X10" s="2">
        <v>5.6</v>
      </c>
      <c r="Y10" s="2">
        <v>1.03</v>
      </c>
      <c r="Z10" s="2">
        <v>51</v>
      </c>
      <c r="AA10" s="2">
        <v>26.1</v>
      </c>
      <c r="AB10" s="2">
        <v>84.3</v>
      </c>
      <c r="AC10" s="2">
        <v>15</v>
      </c>
      <c r="AF10" s="2" t="e">
        <f t="shared" si="0"/>
        <v>#DIV/0!</v>
      </c>
      <c r="AG10" s="2">
        <f t="shared" si="5"/>
        <v>0</v>
      </c>
      <c r="AH10" s="2">
        <f t="shared" si="6"/>
        <v>0.02</v>
      </c>
      <c r="AI10" s="2">
        <f t="shared" si="7"/>
        <v>7.518114</v>
      </c>
      <c r="AJ10" s="2">
        <f t="shared" si="8"/>
        <v>5.894052</v>
      </c>
      <c r="BT10" s="2" t="e">
        <f t="shared" si="9"/>
        <v>#DIV/0!</v>
      </c>
    </row>
    <row r="11" spans="1:72">
      <c r="A11" s="9"/>
      <c r="B11" s="9"/>
      <c r="C11" s="7" t="s">
        <v>80</v>
      </c>
      <c r="E11" s="2">
        <v>223</v>
      </c>
      <c r="F11" s="8">
        <v>7.338</v>
      </c>
      <c r="G11" s="2">
        <v>242.9</v>
      </c>
      <c r="H11" s="2">
        <v>134.5</v>
      </c>
      <c r="I11" s="2">
        <v>3.69</v>
      </c>
      <c r="J11" s="2">
        <v>1.28</v>
      </c>
      <c r="K11" s="2">
        <v>110</v>
      </c>
      <c r="L11" s="2">
        <v>9.7</v>
      </c>
      <c r="M11" s="2">
        <v>2.74</v>
      </c>
      <c r="N11" s="2">
        <v>52</v>
      </c>
      <c r="O11" s="2">
        <v>23.4</v>
      </c>
      <c r="P11" s="2">
        <v>99.5</v>
      </c>
      <c r="Q11" s="2">
        <v>15</v>
      </c>
      <c r="R11" s="2">
        <v>7.318</v>
      </c>
      <c r="S11" s="2">
        <v>49.8</v>
      </c>
      <c r="T11" s="2">
        <v>134.6</v>
      </c>
      <c r="U11" s="2">
        <v>3.69</v>
      </c>
      <c r="V11" s="2">
        <v>1.3</v>
      </c>
      <c r="W11" s="2">
        <v>109</v>
      </c>
      <c r="X11" s="2">
        <v>9.5</v>
      </c>
      <c r="Y11" s="2">
        <v>2.36</v>
      </c>
      <c r="Z11" s="2">
        <v>52</v>
      </c>
      <c r="AA11" s="2">
        <v>23.4</v>
      </c>
      <c r="AB11" s="2">
        <v>81.9</v>
      </c>
      <c r="AC11" s="2">
        <v>15</v>
      </c>
      <c r="AF11" s="2" t="e">
        <f t="shared" si="0"/>
        <v>#DIV/0!</v>
      </c>
      <c r="AG11" s="2">
        <f t="shared" si="5"/>
        <v>0</v>
      </c>
      <c r="AH11" s="2">
        <f t="shared" si="6"/>
        <v>-0.38</v>
      </c>
      <c r="AI11" s="2">
        <f t="shared" si="7"/>
        <v>7.68615</v>
      </c>
      <c r="AJ11" s="2">
        <f t="shared" si="8"/>
        <v>5.861172</v>
      </c>
      <c r="BT11" s="2" t="e">
        <f t="shared" si="9"/>
        <v>#DIV/0!</v>
      </c>
    </row>
    <row r="12" spans="1:72">
      <c r="A12" s="9"/>
      <c r="B12" s="9"/>
      <c r="C12" s="7" t="s">
        <v>81</v>
      </c>
      <c r="E12" s="2">
        <v>223</v>
      </c>
      <c r="F12" s="8">
        <v>7.394</v>
      </c>
      <c r="G12" s="2">
        <v>242.8</v>
      </c>
      <c r="H12" s="2">
        <v>134.2</v>
      </c>
      <c r="I12" s="2">
        <v>3.8</v>
      </c>
      <c r="J12" s="2">
        <v>1.27</v>
      </c>
      <c r="K12" s="2">
        <v>109</v>
      </c>
      <c r="L12" s="2">
        <v>10.8</v>
      </c>
      <c r="M12" s="2">
        <v>1.5</v>
      </c>
      <c r="N12" s="2">
        <v>52</v>
      </c>
      <c r="O12" s="2">
        <v>22.9</v>
      </c>
      <c r="P12" s="2">
        <v>99.5</v>
      </c>
      <c r="Q12" s="2">
        <v>15</v>
      </c>
      <c r="R12" s="2">
        <v>7.379</v>
      </c>
      <c r="S12" s="2">
        <v>49.1</v>
      </c>
      <c r="T12" s="2">
        <v>134.1</v>
      </c>
      <c r="U12" s="2">
        <v>3.79</v>
      </c>
      <c r="V12" s="2">
        <v>1.28</v>
      </c>
      <c r="W12" s="2">
        <v>109</v>
      </c>
      <c r="X12" s="2">
        <v>10.9</v>
      </c>
      <c r="Y12" s="2">
        <v>1.37</v>
      </c>
      <c r="Z12" s="2">
        <v>50</v>
      </c>
      <c r="AA12" s="2">
        <v>23.4</v>
      </c>
      <c r="AB12" s="2">
        <v>84</v>
      </c>
      <c r="AC12" s="2">
        <v>15</v>
      </c>
      <c r="AF12" s="2" t="e">
        <f t="shared" si="0"/>
        <v>#DIV/0!</v>
      </c>
      <c r="AG12" s="2">
        <f t="shared" si="5"/>
        <v>0</v>
      </c>
      <c r="AH12" s="2">
        <f t="shared" si="6"/>
        <v>-0.13</v>
      </c>
      <c r="AI12" s="2">
        <f t="shared" si="7"/>
        <v>7.41918</v>
      </c>
      <c r="AJ12" s="2">
        <f t="shared" si="8"/>
        <v>6.00533</v>
      </c>
      <c r="BT12" s="2" t="e">
        <f t="shared" si="9"/>
        <v>#DIV/0!</v>
      </c>
    </row>
    <row r="13" spans="1:72">
      <c r="A13" s="9"/>
      <c r="B13" s="9"/>
      <c r="C13" s="10" t="s">
        <v>82</v>
      </c>
      <c r="E13" s="2">
        <v>223</v>
      </c>
      <c r="F13" s="8">
        <v>7.372</v>
      </c>
      <c r="G13" s="2">
        <v>233.8</v>
      </c>
      <c r="H13" s="2">
        <v>133</v>
      </c>
      <c r="I13" s="2">
        <v>4.38</v>
      </c>
      <c r="J13" s="2">
        <v>1.17</v>
      </c>
      <c r="K13" s="2">
        <v>109</v>
      </c>
      <c r="L13" s="2">
        <v>12.6</v>
      </c>
      <c r="M13" s="2">
        <v>0.63</v>
      </c>
      <c r="N13" s="2">
        <v>52</v>
      </c>
      <c r="O13" s="2">
        <v>23.6</v>
      </c>
      <c r="P13" s="2">
        <v>99.5</v>
      </c>
      <c r="Q13" s="2">
        <v>15</v>
      </c>
      <c r="R13" s="2">
        <v>7.345</v>
      </c>
      <c r="S13" s="2">
        <v>51.7</v>
      </c>
      <c r="T13" s="2">
        <v>132.8</v>
      </c>
      <c r="U13" s="2">
        <v>4.33</v>
      </c>
      <c r="V13" s="2">
        <v>1.19</v>
      </c>
      <c r="W13" s="2">
        <v>109</v>
      </c>
      <c r="X13" s="2">
        <v>12</v>
      </c>
      <c r="Y13" s="2">
        <v>0.57</v>
      </c>
      <c r="Z13" s="2">
        <v>52</v>
      </c>
      <c r="AA13" s="2">
        <v>22.6</v>
      </c>
      <c r="AB13" s="2">
        <v>84.7</v>
      </c>
      <c r="AC13" s="2">
        <v>15</v>
      </c>
      <c r="AF13" s="2" t="e">
        <f t="shared" si="0"/>
        <v>#DIV/0!</v>
      </c>
      <c r="AG13" s="2">
        <f t="shared" si="5"/>
        <v>0</v>
      </c>
      <c r="AH13" s="2">
        <f t="shared" si="6"/>
        <v>-0.0600000000000001</v>
      </c>
      <c r="AI13" s="2">
        <f t="shared" si="7"/>
        <v>7.65794</v>
      </c>
      <c r="AJ13" s="2">
        <f t="shared" si="8"/>
        <v>6.062166</v>
      </c>
      <c r="AK13" s="3">
        <v>8.14</v>
      </c>
      <c r="AL13" s="3">
        <v>0.38</v>
      </c>
      <c r="AM13" s="3">
        <v>22.15</v>
      </c>
      <c r="AN13" s="3">
        <v>69.93</v>
      </c>
      <c r="AO13" s="3">
        <v>9.11</v>
      </c>
      <c r="AP13" s="3">
        <v>13.87</v>
      </c>
      <c r="AQ13" s="2">
        <v>9</v>
      </c>
      <c r="AR13" s="2">
        <v>117</v>
      </c>
      <c r="AS13" s="2">
        <v>128</v>
      </c>
      <c r="AT13" s="2">
        <v>80</v>
      </c>
      <c r="AU13" s="2">
        <v>162</v>
      </c>
      <c r="AV13" s="2">
        <v>117</v>
      </c>
      <c r="AW13" s="2">
        <v>8</v>
      </c>
      <c r="AX13" s="2">
        <v>46</v>
      </c>
      <c r="AY13" s="2">
        <v>102</v>
      </c>
      <c r="AZ13" s="2">
        <v>2575</v>
      </c>
      <c r="BA13" s="2">
        <v>-1804</v>
      </c>
      <c r="BB13" s="2">
        <v>42</v>
      </c>
      <c r="BC13" s="2">
        <v>31</v>
      </c>
      <c r="BF13" s="2">
        <v>42</v>
      </c>
      <c r="BG13" s="2">
        <v>39</v>
      </c>
      <c r="BH13" s="2">
        <v>13</v>
      </c>
      <c r="BI13" s="2">
        <v>1975</v>
      </c>
      <c r="BJ13" s="2">
        <v>27</v>
      </c>
      <c r="BK13" s="2">
        <v>1121</v>
      </c>
      <c r="BM13" s="2">
        <v>8097</v>
      </c>
      <c r="BN13" s="2">
        <v>5</v>
      </c>
      <c r="BR13" s="2">
        <v>86.207263</v>
      </c>
      <c r="BS13" s="2">
        <v>0.92788</v>
      </c>
      <c r="BT13" s="2" t="e">
        <f t="shared" si="9"/>
        <v>#DIV/0!</v>
      </c>
    </row>
    <row r="14" spans="1:72">
      <c r="A14" s="11"/>
      <c r="B14" s="11"/>
      <c r="C14" s="12" t="s">
        <v>83</v>
      </c>
      <c r="E14" s="2">
        <v>223</v>
      </c>
      <c r="AG14" s="2">
        <f t="shared" si="5"/>
        <v>0</v>
      </c>
      <c r="AH14" s="2">
        <f t="shared" si="6"/>
        <v>0</v>
      </c>
      <c r="AI14" s="2">
        <f t="shared" si="7"/>
        <v>0</v>
      </c>
      <c r="AJ14" s="2">
        <f t="shared" si="8"/>
        <v>0</v>
      </c>
      <c r="AK14" s="3">
        <v>7.31</v>
      </c>
      <c r="AL14" s="3">
        <v>0.26</v>
      </c>
      <c r="AM14" s="3">
        <v>65.62</v>
      </c>
      <c r="AN14" s="3">
        <v>146.05</v>
      </c>
      <c r="AO14" s="3">
        <v>12.33</v>
      </c>
      <c r="AP14" s="3">
        <v>8.97</v>
      </c>
      <c r="AQ14" s="2">
        <v>16</v>
      </c>
      <c r="AR14" s="2">
        <v>94</v>
      </c>
      <c r="AS14" s="2">
        <v>93</v>
      </c>
      <c r="AT14" s="2">
        <v>85</v>
      </c>
      <c r="AU14" s="2">
        <v>158</v>
      </c>
      <c r="AV14" s="2">
        <v>96</v>
      </c>
      <c r="AW14" s="2">
        <v>14</v>
      </c>
      <c r="AX14" s="2">
        <v>44</v>
      </c>
      <c r="AY14" s="2">
        <v>99</v>
      </c>
      <c r="AZ14" s="2">
        <v>2271</v>
      </c>
      <c r="BA14" s="2">
        <v>-2190</v>
      </c>
      <c r="BB14" s="2">
        <v>47</v>
      </c>
      <c r="BC14" s="2">
        <v>46</v>
      </c>
      <c r="BF14" s="2">
        <v>28</v>
      </c>
      <c r="BG14" s="2">
        <v>18</v>
      </c>
      <c r="BH14" s="2">
        <v>13</v>
      </c>
      <c r="BI14" s="2">
        <v>2004</v>
      </c>
      <c r="BJ14" s="2">
        <v>44</v>
      </c>
      <c r="BK14" s="2">
        <v>844</v>
      </c>
      <c r="BM14" s="2">
        <v>3258</v>
      </c>
      <c r="BN14" s="2">
        <v>4</v>
      </c>
      <c r="BO14" s="23"/>
      <c r="BP14" s="23"/>
      <c r="BQ14" s="23"/>
      <c r="BR14" s="20">
        <v>1042</v>
      </c>
      <c r="BS14" s="20">
        <v>158</v>
      </c>
      <c r="BT14" s="2" t="e">
        <f t="shared" si="9"/>
        <v>#DIV/0!</v>
      </c>
    </row>
    <row r="15" spans="1:72">
      <c r="A15" s="6">
        <v>3</v>
      </c>
      <c r="B15" s="6" t="s">
        <v>85</v>
      </c>
      <c r="C15" s="7" t="s">
        <v>78</v>
      </c>
      <c r="AF15" s="2" t="e">
        <f t="shared" si="0"/>
        <v>#DIV/0!</v>
      </c>
      <c r="AG15" s="2" t="e">
        <f t="shared" si="5"/>
        <v>#DIV/0!</v>
      </c>
      <c r="AH15" s="2">
        <f t="shared" si="6"/>
        <v>0</v>
      </c>
      <c r="AI15" s="2">
        <f t="shared" si="7"/>
        <v>0</v>
      </c>
      <c r="AJ15" s="2">
        <f t="shared" si="8"/>
        <v>0</v>
      </c>
      <c r="BT15" s="2" t="e">
        <f t="shared" si="9"/>
        <v>#DIV/0!</v>
      </c>
    </row>
    <row r="16" spans="1:72">
      <c r="A16" s="9"/>
      <c r="B16" s="9"/>
      <c r="C16" s="7" t="s">
        <v>79</v>
      </c>
      <c r="F16" s="2">
        <v>7.558</v>
      </c>
      <c r="G16" s="2">
        <v>229.5</v>
      </c>
      <c r="H16" s="2">
        <v>138.9</v>
      </c>
      <c r="I16" s="2">
        <v>3.33</v>
      </c>
      <c r="J16" s="2">
        <v>1.21</v>
      </c>
      <c r="K16" s="2">
        <v>110</v>
      </c>
      <c r="L16" s="2">
        <v>5.8</v>
      </c>
      <c r="M16" s="2">
        <v>1.01</v>
      </c>
      <c r="N16" s="2">
        <v>50</v>
      </c>
      <c r="O16" s="2">
        <v>26</v>
      </c>
      <c r="P16" s="2">
        <v>99.6</v>
      </c>
      <c r="Q16" s="2">
        <v>15</v>
      </c>
      <c r="R16" s="2">
        <v>7.513</v>
      </c>
      <c r="S16" s="2">
        <v>42.9</v>
      </c>
      <c r="T16" s="2">
        <v>139.3</v>
      </c>
      <c r="U16" s="2">
        <v>3.28</v>
      </c>
      <c r="V16" s="2">
        <v>1.21</v>
      </c>
      <c r="W16" s="2">
        <v>110</v>
      </c>
      <c r="X16" s="2">
        <v>5.6</v>
      </c>
      <c r="Y16" s="2">
        <v>1.03</v>
      </c>
      <c r="Z16" s="2">
        <v>51</v>
      </c>
      <c r="AA16" s="2">
        <v>26.1</v>
      </c>
      <c r="AB16" s="2">
        <v>84.1</v>
      </c>
      <c r="AC16" s="2">
        <v>15</v>
      </c>
      <c r="AF16" s="2" t="e">
        <f t="shared" si="0"/>
        <v>#DIV/0!</v>
      </c>
      <c r="AG16" s="2" t="e">
        <f t="shared" si="5"/>
        <v>#DIV/0!</v>
      </c>
      <c r="AH16" s="2">
        <f t="shared" si="6"/>
        <v>0.02</v>
      </c>
      <c r="AI16" s="2">
        <f t="shared" si="7"/>
        <v>7.518114</v>
      </c>
      <c r="AJ16" s="2">
        <f t="shared" si="8"/>
        <v>5.76769</v>
      </c>
      <c r="BT16" s="2" t="e">
        <f t="shared" si="9"/>
        <v>#DIV/0!</v>
      </c>
    </row>
    <row r="17" spans="1:72">
      <c r="A17" s="9"/>
      <c r="B17" s="9"/>
      <c r="C17" s="7" t="s">
        <v>80</v>
      </c>
      <c r="F17" s="2">
        <v>7.424</v>
      </c>
      <c r="G17" s="2">
        <v>234.2</v>
      </c>
      <c r="H17" s="2">
        <v>139.1</v>
      </c>
      <c r="I17" s="2">
        <v>2.87</v>
      </c>
      <c r="J17" s="2">
        <v>1.22</v>
      </c>
      <c r="K17" s="2">
        <v>111</v>
      </c>
      <c r="L17" s="2">
        <v>5.3</v>
      </c>
      <c r="M17" s="2">
        <v>1.14</v>
      </c>
      <c r="N17" s="2">
        <v>50</v>
      </c>
      <c r="O17" s="2">
        <v>28</v>
      </c>
      <c r="P17" s="2">
        <v>99.5</v>
      </c>
      <c r="Q17" s="2">
        <v>15</v>
      </c>
      <c r="R17" s="2">
        <v>7.407</v>
      </c>
      <c r="S17" s="2">
        <v>52.7</v>
      </c>
      <c r="T17" s="2">
        <v>139.4</v>
      </c>
      <c r="U17" s="2">
        <v>2.91</v>
      </c>
      <c r="V17" s="2">
        <v>1.22</v>
      </c>
      <c r="W17" s="2">
        <v>111</v>
      </c>
      <c r="X17" s="2">
        <v>5.2</v>
      </c>
      <c r="Y17" s="2">
        <v>1.09</v>
      </c>
      <c r="Z17" s="2">
        <v>51</v>
      </c>
      <c r="AA17" s="2">
        <v>28.1</v>
      </c>
      <c r="AB17" s="2">
        <v>87.3</v>
      </c>
      <c r="AC17" s="2">
        <v>15</v>
      </c>
      <c r="AF17" s="2" t="e">
        <f t="shared" si="0"/>
        <v>#DIV/0!</v>
      </c>
      <c r="AG17" s="2" t="e">
        <f t="shared" si="5"/>
        <v>#DIV/0!</v>
      </c>
      <c r="AH17" s="2">
        <f t="shared" si="6"/>
        <v>-0.0499999999999998</v>
      </c>
      <c r="AI17" s="2">
        <f t="shared" si="7"/>
        <v>7.52585</v>
      </c>
      <c r="AJ17" s="2">
        <f t="shared" si="8"/>
        <v>6.01247</v>
      </c>
      <c r="BT17" s="2" t="e">
        <f t="shared" si="9"/>
        <v>#DIV/0!</v>
      </c>
    </row>
    <row r="18" spans="1:72">
      <c r="A18" s="9"/>
      <c r="B18" s="9"/>
      <c r="C18" s="7" t="s">
        <v>81</v>
      </c>
      <c r="F18" s="2">
        <v>7.396</v>
      </c>
      <c r="G18" s="2">
        <v>233.6</v>
      </c>
      <c r="H18" s="2">
        <v>140.7</v>
      </c>
      <c r="I18" s="2">
        <v>2.91</v>
      </c>
      <c r="J18" s="2">
        <v>1.22</v>
      </c>
      <c r="K18" s="2">
        <v>111</v>
      </c>
      <c r="L18" s="2">
        <v>5</v>
      </c>
      <c r="M18" s="2">
        <v>0.63</v>
      </c>
      <c r="N18" s="2">
        <v>47</v>
      </c>
      <c r="O18" s="2">
        <v>28.6</v>
      </c>
      <c r="P18" s="2">
        <v>99.5</v>
      </c>
      <c r="Q18" s="2">
        <v>14</v>
      </c>
      <c r="R18" s="2">
        <v>7.389</v>
      </c>
      <c r="S18" s="2">
        <v>59.6</v>
      </c>
      <c r="T18" s="2">
        <v>141.6</v>
      </c>
      <c r="U18" s="2">
        <v>2.96</v>
      </c>
      <c r="V18" s="2">
        <v>1.21</v>
      </c>
      <c r="W18" s="2">
        <v>112</v>
      </c>
      <c r="X18" s="2">
        <v>5</v>
      </c>
      <c r="Y18" s="2">
        <v>0.79</v>
      </c>
      <c r="Z18" s="2">
        <v>49</v>
      </c>
      <c r="AA18" s="2">
        <v>29.5</v>
      </c>
      <c r="AB18" s="2">
        <v>90.3</v>
      </c>
      <c r="AC18" s="2">
        <v>14</v>
      </c>
      <c r="AF18" s="2" t="e">
        <f t="shared" si="0"/>
        <v>#DIV/0!</v>
      </c>
      <c r="AG18" s="2" t="e">
        <f t="shared" si="5"/>
        <v>#DIV/0!</v>
      </c>
      <c r="AH18" s="2">
        <f t="shared" si="6"/>
        <v>0.16</v>
      </c>
      <c r="AI18" s="2">
        <f t="shared" si="7"/>
        <v>7.25733</v>
      </c>
      <c r="AJ18" s="2">
        <f t="shared" si="8"/>
        <v>5.871854</v>
      </c>
      <c r="BT18" s="2" t="e">
        <f t="shared" si="9"/>
        <v>#DIV/0!</v>
      </c>
    </row>
    <row r="19" spans="1:73">
      <c r="A19" s="9"/>
      <c r="B19" s="9"/>
      <c r="C19" s="10" t="s">
        <v>82</v>
      </c>
      <c r="F19" s="2">
        <v>7.379</v>
      </c>
      <c r="G19" s="2">
        <v>190.3</v>
      </c>
      <c r="H19" s="2">
        <v>141.4</v>
      </c>
      <c r="I19" s="2">
        <v>3.26</v>
      </c>
      <c r="J19" s="2">
        <v>1.14</v>
      </c>
      <c r="K19" s="2">
        <v>113</v>
      </c>
      <c r="L19" s="2">
        <v>4.4</v>
      </c>
      <c r="M19" s="2">
        <v>0.31</v>
      </c>
      <c r="N19" s="2">
        <v>50</v>
      </c>
      <c r="O19" s="2">
        <v>28.3</v>
      </c>
      <c r="P19" s="2">
        <v>99.3</v>
      </c>
      <c r="Q19" s="2">
        <v>15</v>
      </c>
      <c r="R19" s="2">
        <v>7.361</v>
      </c>
      <c r="S19" s="2">
        <v>68.7</v>
      </c>
      <c r="T19" s="2">
        <v>141.4</v>
      </c>
      <c r="U19" s="2">
        <v>3.29</v>
      </c>
      <c r="V19" s="2">
        <v>1.14</v>
      </c>
      <c r="W19" s="2">
        <v>113</v>
      </c>
      <c r="X19" s="2">
        <v>4.3</v>
      </c>
      <c r="Y19" s="2">
        <v>0.37</v>
      </c>
      <c r="Z19" s="2">
        <v>51</v>
      </c>
      <c r="AA19" s="2">
        <v>27.6</v>
      </c>
      <c r="AB19" s="2">
        <v>92.9</v>
      </c>
      <c r="AC19" s="2">
        <v>15</v>
      </c>
      <c r="AF19" s="2" t="e">
        <f t="shared" si="0"/>
        <v>#DIV/0!</v>
      </c>
      <c r="AG19" s="2" t="e">
        <f t="shared" si="5"/>
        <v>#DIV/0!</v>
      </c>
      <c r="AH19" s="2">
        <f t="shared" si="6"/>
        <v>0.06</v>
      </c>
      <c r="AI19" s="2">
        <f t="shared" si="7"/>
        <v>7.376092</v>
      </c>
      <c r="AJ19" s="2">
        <f t="shared" si="8"/>
        <v>6.43727</v>
      </c>
      <c r="AK19" s="19">
        <v>2.05</v>
      </c>
      <c r="AL19" s="19">
        <v>0.09</v>
      </c>
      <c r="AM19" s="19">
        <v>36.37</v>
      </c>
      <c r="AN19" s="19">
        <v>32.25</v>
      </c>
      <c r="AO19" s="19">
        <v>6.07</v>
      </c>
      <c r="AP19" s="19">
        <v>22.53</v>
      </c>
      <c r="AQ19" s="20">
        <v>6</v>
      </c>
      <c r="AR19" s="20">
        <v>69</v>
      </c>
      <c r="AS19" s="20">
        <v>88</v>
      </c>
      <c r="AT19" s="20">
        <v>136</v>
      </c>
      <c r="AU19" s="20">
        <v>210</v>
      </c>
      <c r="AV19" s="20">
        <v>79</v>
      </c>
      <c r="AW19" s="20">
        <v>4</v>
      </c>
      <c r="AX19" s="20">
        <v>46</v>
      </c>
      <c r="AY19" s="20">
        <v>95</v>
      </c>
      <c r="AZ19" s="2">
        <v>1475</v>
      </c>
      <c r="BA19" s="2">
        <v>-1311</v>
      </c>
      <c r="BB19" s="2">
        <v>31</v>
      </c>
      <c r="BC19" s="2">
        <v>20</v>
      </c>
      <c r="BF19" s="2">
        <v>19</v>
      </c>
      <c r="BG19" s="2">
        <v>15</v>
      </c>
      <c r="BH19" s="2">
        <v>7</v>
      </c>
      <c r="BI19" s="2">
        <v>891</v>
      </c>
      <c r="BJ19" s="2">
        <v>33</v>
      </c>
      <c r="BK19" s="2">
        <v>416</v>
      </c>
      <c r="BM19" s="2">
        <v>2786</v>
      </c>
      <c r="BN19" s="2">
        <v>8</v>
      </c>
      <c r="BR19" s="2">
        <v>0</v>
      </c>
      <c r="BS19" s="2">
        <v>123</v>
      </c>
      <c r="BT19" s="2" t="e">
        <f t="shared" si="9"/>
        <v>#DIV/0!</v>
      </c>
      <c r="BU19" s="2" t="s">
        <v>86</v>
      </c>
    </row>
    <row r="20" spans="1:72">
      <c r="A20" s="11"/>
      <c r="B20" s="11"/>
      <c r="C20" s="12" t="s">
        <v>83</v>
      </c>
      <c r="AK20" s="19">
        <v>2.64</v>
      </c>
      <c r="AL20" s="19">
        <v>0.43</v>
      </c>
      <c r="AM20" s="19">
        <v>53.26</v>
      </c>
      <c r="AN20" s="19">
        <v>-55</v>
      </c>
      <c r="AO20" s="19">
        <v>9.03</v>
      </c>
      <c r="AP20" s="19">
        <v>-37.7</v>
      </c>
      <c r="AQ20" s="2">
        <v>5</v>
      </c>
      <c r="AR20" s="2">
        <v>77</v>
      </c>
      <c r="AS20" s="2">
        <v>94</v>
      </c>
      <c r="AT20" s="2">
        <v>122</v>
      </c>
      <c r="AU20" s="2">
        <v>223</v>
      </c>
      <c r="AV20" s="2">
        <v>84</v>
      </c>
      <c r="AW20" s="2">
        <v>2</v>
      </c>
      <c r="AX20" s="2">
        <v>37</v>
      </c>
      <c r="AY20" s="2">
        <v>115</v>
      </c>
      <c r="AZ20" s="2">
        <v>2870</v>
      </c>
      <c r="BA20" s="2">
        <v>-1385</v>
      </c>
      <c r="BB20" s="2">
        <v>55</v>
      </c>
      <c r="BC20" s="2">
        <v>16</v>
      </c>
      <c r="BF20" s="2">
        <v>19</v>
      </c>
      <c r="BG20" s="2">
        <v>5</v>
      </c>
      <c r="BH20" s="2">
        <v>15</v>
      </c>
      <c r="BI20" s="2">
        <v>1878</v>
      </c>
      <c r="BJ20" s="2">
        <v>81</v>
      </c>
      <c r="BK20" s="2">
        <v>899</v>
      </c>
      <c r="BL20" s="23"/>
      <c r="BM20" s="20">
        <v>9248</v>
      </c>
      <c r="BN20" s="25">
        <v>26</v>
      </c>
      <c r="BO20" s="25"/>
      <c r="BP20" s="25"/>
      <c r="BQ20" s="25"/>
      <c r="BR20" s="20">
        <v>865</v>
      </c>
      <c r="BS20" s="20">
        <v>121</v>
      </c>
      <c r="BT20" s="2" t="e">
        <f t="shared" si="9"/>
        <v>#DIV/0!</v>
      </c>
    </row>
    <row r="21" spans="1:72">
      <c r="A21" s="6">
        <v>4</v>
      </c>
      <c r="B21" s="6" t="s">
        <v>87</v>
      </c>
      <c r="C21" s="7" t="s">
        <v>78</v>
      </c>
      <c r="F21" s="2">
        <v>7.348</v>
      </c>
      <c r="G21" s="2">
        <v>250.6</v>
      </c>
      <c r="H21" s="2">
        <v>134.4</v>
      </c>
      <c r="I21" s="2">
        <v>4.56</v>
      </c>
      <c r="J21" s="2">
        <v>0.78</v>
      </c>
      <c r="K21" s="2">
        <v>108</v>
      </c>
      <c r="L21" s="2">
        <v>7.7</v>
      </c>
      <c r="M21" s="2">
        <v>3.35</v>
      </c>
      <c r="N21" s="2">
        <v>47</v>
      </c>
      <c r="O21" s="2">
        <v>20.4</v>
      </c>
      <c r="P21" s="2">
        <v>99.5</v>
      </c>
      <c r="Q21" s="2">
        <v>14</v>
      </c>
      <c r="R21" s="2">
        <v>7.333</v>
      </c>
      <c r="S21" s="2">
        <v>66.2</v>
      </c>
      <c r="T21" s="2">
        <v>137</v>
      </c>
      <c r="U21" s="2">
        <v>4.6</v>
      </c>
      <c r="V21" s="2">
        <v>0.79</v>
      </c>
      <c r="W21" s="2">
        <v>109</v>
      </c>
      <c r="X21" s="2">
        <v>7.5</v>
      </c>
      <c r="Y21" s="2">
        <v>3.22</v>
      </c>
      <c r="Z21" s="2">
        <v>46</v>
      </c>
      <c r="AA21" s="2">
        <v>20.3</v>
      </c>
      <c r="AB21" s="2">
        <v>92</v>
      </c>
      <c r="AC21" s="2">
        <v>14</v>
      </c>
      <c r="AF21" s="2" t="e">
        <f t="shared" si="0"/>
        <v>#DIV/0!</v>
      </c>
      <c r="AG21" s="2" t="e">
        <f t="shared" si="5"/>
        <v>#DIV/0!</v>
      </c>
      <c r="AH21" s="2">
        <f t="shared" si="6"/>
        <v>-0.13</v>
      </c>
      <c r="AI21" s="2">
        <f t="shared" si="7"/>
        <v>6.91004</v>
      </c>
      <c r="AJ21" s="2">
        <f t="shared" si="8"/>
        <v>5.99938</v>
      </c>
      <c r="BT21" s="2" t="e">
        <f t="shared" si="9"/>
        <v>#DIV/0!</v>
      </c>
    </row>
    <row r="22" spans="1:72">
      <c r="A22" s="9"/>
      <c r="B22" s="9"/>
      <c r="C22" s="7" t="s">
        <v>79</v>
      </c>
      <c r="F22" s="2">
        <v>7.398</v>
      </c>
      <c r="G22" s="2">
        <v>243.8</v>
      </c>
      <c r="H22" s="2">
        <v>133.5</v>
      </c>
      <c r="I22" s="2">
        <v>4.23</v>
      </c>
      <c r="J22" s="2">
        <v>4.47</v>
      </c>
      <c r="K22" s="2">
        <v>119</v>
      </c>
      <c r="L22" s="2">
        <v>7.2</v>
      </c>
      <c r="M22" s="2">
        <v>3.75</v>
      </c>
      <c r="N22" s="2">
        <v>47</v>
      </c>
      <c r="O22" s="2">
        <v>18.8</v>
      </c>
      <c r="P22" s="2">
        <v>99.6</v>
      </c>
      <c r="Q22" s="2">
        <v>14</v>
      </c>
      <c r="R22" s="2">
        <v>7.402</v>
      </c>
      <c r="S22" s="2">
        <v>56</v>
      </c>
      <c r="T22" s="2">
        <v>134.7</v>
      </c>
      <c r="U22" s="2">
        <v>4.23</v>
      </c>
      <c r="V22" s="2">
        <v>1.26</v>
      </c>
      <c r="W22" s="2">
        <v>110</v>
      </c>
      <c r="X22" s="2">
        <v>7.2</v>
      </c>
      <c r="Y22" s="2">
        <v>3.43</v>
      </c>
      <c r="Z22" s="2">
        <v>47</v>
      </c>
      <c r="AA22" s="2">
        <v>19.2</v>
      </c>
      <c r="AB22" s="2">
        <v>89.7</v>
      </c>
      <c r="AC22" s="2">
        <v>14</v>
      </c>
      <c r="AF22" s="2" t="e">
        <f t="shared" si="0"/>
        <v>#DIV/0!</v>
      </c>
      <c r="AG22" s="2" t="e">
        <f t="shared" si="5"/>
        <v>#DIV/0!</v>
      </c>
      <c r="AH22" s="2">
        <f t="shared" si="6"/>
        <v>-0.32</v>
      </c>
      <c r="AI22" s="2">
        <f t="shared" si="7"/>
        <v>7.028588</v>
      </c>
      <c r="AJ22" s="2">
        <f t="shared" si="8"/>
        <v>5.822906</v>
      </c>
      <c r="BT22" s="2" t="e">
        <f t="shared" si="9"/>
        <v>#DIV/0!</v>
      </c>
    </row>
    <row r="23" spans="1:72">
      <c r="A23" s="9"/>
      <c r="B23" s="9"/>
      <c r="C23" s="7" t="s">
        <v>80</v>
      </c>
      <c r="F23" s="2">
        <v>7.522</v>
      </c>
      <c r="G23" s="2">
        <v>240.1</v>
      </c>
      <c r="H23" s="2">
        <v>135.3</v>
      </c>
      <c r="I23" s="2">
        <v>4.17</v>
      </c>
      <c r="J23" s="2">
        <v>2.86</v>
      </c>
      <c r="K23" s="2">
        <v>117</v>
      </c>
      <c r="L23" s="2">
        <v>7.2</v>
      </c>
      <c r="M23" s="2">
        <v>4.24</v>
      </c>
      <c r="N23" s="2">
        <v>46</v>
      </c>
      <c r="O23" s="2">
        <v>17.9</v>
      </c>
      <c r="P23" s="2">
        <v>99.6</v>
      </c>
      <c r="Q23" s="2">
        <v>14</v>
      </c>
      <c r="R23" s="2">
        <v>7.508</v>
      </c>
      <c r="S23" s="2">
        <v>66.6</v>
      </c>
      <c r="T23" s="2">
        <v>134.8</v>
      </c>
      <c r="U23" s="2">
        <v>4.1</v>
      </c>
      <c r="V23" s="2">
        <v>1.21</v>
      </c>
      <c r="W23" s="2">
        <v>111</v>
      </c>
      <c r="X23" s="2">
        <v>7</v>
      </c>
      <c r="Y23" s="2">
        <v>3.83</v>
      </c>
      <c r="Z23" s="2">
        <v>46</v>
      </c>
      <c r="AA23" s="2">
        <v>18.1</v>
      </c>
      <c r="AB23" s="2">
        <v>95.3</v>
      </c>
      <c r="AC23" s="2">
        <v>14</v>
      </c>
      <c r="AF23" s="2" t="e">
        <f t="shared" si="0"/>
        <v>#DIV/0!</v>
      </c>
      <c r="AG23" s="2" t="e">
        <f t="shared" si="5"/>
        <v>#DIV/0!</v>
      </c>
      <c r="AH23" s="2">
        <f t="shared" si="6"/>
        <v>-0.41</v>
      </c>
      <c r="AI23" s="2">
        <f t="shared" si="7"/>
        <v>6.883654</v>
      </c>
      <c r="AJ23" s="2">
        <f t="shared" si="8"/>
        <v>6.080752</v>
      </c>
      <c r="BT23" s="2" t="e">
        <f t="shared" si="9"/>
        <v>#DIV/0!</v>
      </c>
    </row>
    <row r="24" spans="1:72">
      <c r="A24" s="9"/>
      <c r="B24" s="9"/>
      <c r="C24" s="7" t="s">
        <v>81</v>
      </c>
      <c r="F24" s="2">
        <v>7.393</v>
      </c>
      <c r="G24" s="2">
        <v>317.5</v>
      </c>
      <c r="H24" s="2">
        <v>134.9</v>
      </c>
      <c r="I24" s="2">
        <v>4.25</v>
      </c>
      <c r="J24" s="2">
        <v>1.21</v>
      </c>
      <c r="K24" s="2">
        <v>110</v>
      </c>
      <c r="L24" s="2">
        <v>7.5</v>
      </c>
      <c r="M24" s="2">
        <v>3.98</v>
      </c>
      <c r="N24" s="2">
        <v>46</v>
      </c>
      <c r="O24" s="2">
        <v>18.8</v>
      </c>
      <c r="P24" s="2">
        <v>99.7</v>
      </c>
      <c r="Q24" s="2">
        <v>14</v>
      </c>
      <c r="R24" s="2">
        <v>7.393</v>
      </c>
      <c r="S24" s="2">
        <v>102.5</v>
      </c>
      <c r="T24" s="2">
        <v>136.2</v>
      </c>
      <c r="U24" s="2">
        <v>4.29</v>
      </c>
      <c r="V24" s="2">
        <v>1.21</v>
      </c>
      <c r="W24" s="2">
        <v>111</v>
      </c>
      <c r="X24" s="2">
        <v>7.4</v>
      </c>
      <c r="Y24" s="2">
        <v>3.72</v>
      </c>
      <c r="Z24" s="2">
        <v>45</v>
      </c>
      <c r="AA24" s="2">
        <v>19.3</v>
      </c>
      <c r="AB24" s="2">
        <v>97.7</v>
      </c>
      <c r="AC24" s="2">
        <v>13</v>
      </c>
      <c r="AF24" s="2" t="e">
        <f t="shared" si="0"/>
        <v>#DIV/0!</v>
      </c>
      <c r="AG24" s="2" t="e">
        <f t="shared" si="5"/>
        <v>#DIV/0!</v>
      </c>
      <c r="AH24" s="2">
        <f t="shared" si="6"/>
        <v>-0.26</v>
      </c>
      <c r="AI24" s="2">
        <f t="shared" si="7"/>
        <v>6.99616</v>
      </c>
      <c r="AJ24" s="2">
        <f t="shared" si="8"/>
        <v>6.339978</v>
      </c>
      <c r="BT24" s="2" t="e">
        <f t="shared" si="9"/>
        <v>#DIV/0!</v>
      </c>
    </row>
    <row r="25" spans="1:72">
      <c r="A25" s="9"/>
      <c r="B25" s="9"/>
      <c r="C25" s="10" t="s">
        <v>82</v>
      </c>
      <c r="F25" s="2">
        <v>7.443</v>
      </c>
      <c r="G25" s="2">
        <v>237.3</v>
      </c>
      <c r="H25" s="2">
        <v>136</v>
      </c>
      <c r="I25" s="2">
        <v>4.65</v>
      </c>
      <c r="J25" s="2">
        <v>1.13</v>
      </c>
      <c r="K25" s="2">
        <v>112</v>
      </c>
      <c r="L25" s="2">
        <v>8.2</v>
      </c>
      <c r="M25" s="2">
        <v>2.43</v>
      </c>
      <c r="N25" s="2">
        <v>45</v>
      </c>
      <c r="O25" s="2">
        <v>19.6</v>
      </c>
      <c r="P25" s="2">
        <v>99.6</v>
      </c>
      <c r="Q25" s="2">
        <v>13</v>
      </c>
      <c r="R25" s="2">
        <v>7.42</v>
      </c>
      <c r="S25" s="2">
        <v>85</v>
      </c>
      <c r="T25" s="2">
        <v>136.6</v>
      </c>
      <c r="U25" s="2">
        <v>4.64</v>
      </c>
      <c r="V25" s="2">
        <v>1.14</v>
      </c>
      <c r="W25" s="2">
        <v>112</v>
      </c>
      <c r="X25" s="2">
        <v>8.2</v>
      </c>
      <c r="Y25" s="2">
        <v>2.4</v>
      </c>
      <c r="Z25" s="2">
        <v>47</v>
      </c>
      <c r="AA25" s="2">
        <v>19.9</v>
      </c>
      <c r="AB25" s="2">
        <v>96.7</v>
      </c>
      <c r="AC25" s="2">
        <v>14</v>
      </c>
      <c r="AF25" s="2" t="e">
        <f t="shared" si="0"/>
        <v>#DIV/0!</v>
      </c>
      <c r="AG25" s="2" t="e">
        <f t="shared" si="5"/>
        <v>#DIV/0!</v>
      </c>
      <c r="AH25" s="2">
        <f t="shared" si="6"/>
        <v>-0.0300000000000002</v>
      </c>
      <c r="AI25" s="2">
        <f t="shared" si="7"/>
        <v>7.008438</v>
      </c>
      <c r="AJ25" s="2">
        <f t="shared" si="8"/>
        <v>6.09451</v>
      </c>
      <c r="AK25" s="3">
        <v>4.89</v>
      </c>
      <c r="AL25" s="3">
        <v>0.47</v>
      </c>
      <c r="AM25" s="3">
        <v>23.33</v>
      </c>
      <c r="AN25" s="3">
        <v>121.06</v>
      </c>
      <c r="AO25" s="3">
        <v>6.92</v>
      </c>
      <c r="AP25" s="3">
        <v>15.88</v>
      </c>
      <c r="AQ25" s="2">
        <v>6</v>
      </c>
      <c r="AR25" s="2">
        <v>83</v>
      </c>
      <c r="AS25" s="2">
        <v>79</v>
      </c>
      <c r="AT25" s="2">
        <v>66</v>
      </c>
      <c r="AU25" s="2">
        <v>217</v>
      </c>
      <c r="AV25" s="2">
        <v>69</v>
      </c>
      <c r="AW25" s="2">
        <v>5</v>
      </c>
      <c r="AX25" s="2">
        <v>30</v>
      </c>
      <c r="AY25" s="2">
        <v>129</v>
      </c>
      <c r="AZ25" s="2">
        <v>2040</v>
      </c>
      <c r="BA25" s="2">
        <v>-1209</v>
      </c>
      <c r="BB25" s="2">
        <v>60</v>
      </c>
      <c r="BC25" s="2">
        <v>35</v>
      </c>
      <c r="BD25" s="2">
        <v>37</v>
      </c>
      <c r="BE25" s="2">
        <v>33</v>
      </c>
      <c r="BF25" s="2">
        <v>35</v>
      </c>
      <c r="BG25" s="2">
        <v>35</v>
      </c>
      <c r="BH25" s="2">
        <v>5</v>
      </c>
      <c r="BI25" s="2">
        <v>642</v>
      </c>
      <c r="BJ25" s="2">
        <v>13</v>
      </c>
      <c r="BK25" s="2">
        <v>220</v>
      </c>
      <c r="BL25" s="2">
        <v>18</v>
      </c>
      <c r="BM25" s="2">
        <v>4609</v>
      </c>
      <c r="BN25" s="2">
        <v>4</v>
      </c>
      <c r="BO25" s="2">
        <v>0</v>
      </c>
      <c r="BP25" s="2">
        <v>0</v>
      </c>
      <c r="BQ25" s="2">
        <v>0</v>
      </c>
      <c r="BR25" s="2">
        <v>345</v>
      </c>
      <c r="BS25" s="2">
        <v>136</v>
      </c>
      <c r="BT25" s="2" t="e">
        <f t="shared" si="9"/>
        <v>#DIV/0!</v>
      </c>
    </row>
    <row r="26" spans="1:72">
      <c r="A26" s="11"/>
      <c r="B26" s="11"/>
      <c r="C26" s="12" t="s">
        <v>83</v>
      </c>
      <c r="AF26" s="2" t="e">
        <f t="shared" si="0"/>
        <v>#DIV/0!</v>
      </c>
      <c r="AG26" s="2" t="e">
        <f t="shared" si="5"/>
        <v>#DIV/0!</v>
      </c>
      <c r="AH26" s="2">
        <f t="shared" si="6"/>
        <v>0</v>
      </c>
      <c r="AI26" s="2">
        <f t="shared" si="7"/>
        <v>0</v>
      </c>
      <c r="AJ26" s="2">
        <f t="shared" si="8"/>
        <v>0</v>
      </c>
      <c r="AK26" s="3">
        <v>4.15</v>
      </c>
      <c r="AL26" s="3">
        <v>0.43</v>
      </c>
      <c r="AM26" s="3">
        <v>32.35</v>
      </c>
      <c r="AN26" s="3">
        <v>107.57</v>
      </c>
      <c r="AO26" s="3">
        <v>3.9</v>
      </c>
      <c r="AP26" s="3">
        <v>11.76</v>
      </c>
      <c r="AQ26" s="2">
        <v>6</v>
      </c>
      <c r="AR26" s="2">
        <v>53</v>
      </c>
      <c r="AS26" s="2">
        <v>60</v>
      </c>
      <c r="AT26" s="2">
        <v>74</v>
      </c>
      <c r="AU26" s="2">
        <v>124</v>
      </c>
      <c r="AV26" s="2">
        <v>57</v>
      </c>
      <c r="AW26" s="2">
        <v>3</v>
      </c>
      <c r="AX26" s="2">
        <v>47</v>
      </c>
      <c r="AY26" s="2">
        <v>106</v>
      </c>
      <c r="AZ26" s="2">
        <v>1987</v>
      </c>
      <c r="BA26" s="2">
        <v>-1559</v>
      </c>
      <c r="BB26" s="2">
        <v>47</v>
      </c>
      <c r="BC26" s="2">
        <v>33</v>
      </c>
      <c r="BD26" s="2">
        <v>30</v>
      </c>
      <c r="BE26" s="2">
        <v>20</v>
      </c>
      <c r="BF26" s="2">
        <v>29</v>
      </c>
      <c r="BG26" s="2">
        <v>20</v>
      </c>
      <c r="BH26" s="2">
        <v>9</v>
      </c>
      <c r="BI26" s="2">
        <v>1595</v>
      </c>
      <c r="BJ26" s="2">
        <v>32</v>
      </c>
      <c r="BK26" s="2">
        <v>342</v>
      </c>
      <c r="BL26" s="2">
        <v>6</v>
      </c>
      <c r="BM26" s="2">
        <v>2372</v>
      </c>
      <c r="BN26" s="2">
        <v>3</v>
      </c>
      <c r="BO26" s="2">
        <v>0</v>
      </c>
      <c r="BP26" s="2">
        <v>0</v>
      </c>
      <c r="BQ26" s="2">
        <v>0</v>
      </c>
      <c r="BR26" s="2">
        <v>440</v>
      </c>
      <c r="BS26" s="2">
        <v>172</v>
      </c>
      <c r="BT26" s="2" t="e">
        <f t="shared" si="9"/>
        <v>#DIV/0!</v>
      </c>
    </row>
    <row r="27" spans="1:72">
      <c r="A27" s="6">
        <v>5</v>
      </c>
      <c r="B27" s="6" t="s">
        <v>88</v>
      </c>
      <c r="C27" s="7" t="s">
        <v>78</v>
      </c>
      <c r="D27" s="2">
        <v>36.3</v>
      </c>
      <c r="E27" s="2">
        <v>251</v>
      </c>
      <c r="F27" s="2">
        <v>7.435</v>
      </c>
      <c r="G27" s="2">
        <v>235.3</v>
      </c>
      <c r="H27" s="2">
        <v>136.8</v>
      </c>
      <c r="I27" s="2">
        <v>3.75</v>
      </c>
      <c r="J27" s="2">
        <v>0.81</v>
      </c>
      <c r="K27" s="2">
        <v>113</v>
      </c>
      <c r="L27" s="2">
        <v>7</v>
      </c>
      <c r="M27" s="2">
        <v>0.88</v>
      </c>
      <c r="N27" s="2">
        <v>51</v>
      </c>
      <c r="O27" s="2">
        <v>22.7</v>
      </c>
      <c r="P27" s="2">
        <v>99.6</v>
      </c>
      <c r="Q27" s="2">
        <v>15</v>
      </c>
      <c r="R27" s="2">
        <v>7.417</v>
      </c>
      <c r="S27" s="2">
        <v>77.3</v>
      </c>
      <c r="T27" s="2">
        <v>137.1</v>
      </c>
      <c r="U27" s="2">
        <v>3.66</v>
      </c>
      <c r="V27" s="2">
        <v>0.82</v>
      </c>
      <c r="W27" s="2">
        <v>112</v>
      </c>
      <c r="X27" s="2">
        <v>7.1</v>
      </c>
      <c r="Y27" s="2">
        <v>0.84</v>
      </c>
      <c r="Z27" s="2">
        <v>50</v>
      </c>
      <c r="AA27" s="2">
        <v>22.9</v>
      </c>
      <c r="AB27" s="2">
        <v>95.7</v>
      </c>
      <c r="AC27" s="2">
        <v>15</v>
      </c>
      <c r="AF27" s="2" t="e">
        <f t="shared" si="0"/>
        <v>#DIV/0!</v>
      </c>
      <c r="AG27" s="2">
        <f t="shared" si="5"/>
        <v>0</v>
      </c>
      <c r="AH27" s="2">
        <f t="shared" si="6"/>
        <v>-0.04</v>
      </c>
      <c r="AI27" s="2">
        <f t="shared" si="7"/>
        <v>7.40263</v>
      </c>
      <c r="AJ27" s="2">
        <f t="shared" si="8"/>
        <v>6.779768</v>
      </c>
      <c r="BT27" s="2">
        <f t="shared" si="9"/>
        <v>0</v>
      </c>
    </row>
    <row r="28" spans="1:72">
      <c r="A28" s="9"/>
      <c r="B28" s="9"/>
      <c r="C28" s="7" t="s">
        <v>79</v>
      </c>
      <c r="D28" s="2">
        <v>36.3</v>
      </c>
      <c r="E28" s="2">
        <v>251</v>
      </c>
      <c r="F28" s="2">
        <v>7.529</v>
      </c>
      <c r="G28" s="2">
        <v>246.5</v>
      </c>
      <c r="H28" s="2">
        <v>137.1</v>
      </c>
      <c r="I28" s="2">
        <v>3.17</v>
      </c>
      <c r="J28" s="2">
        <v>1.37</v>
      </c>
      <c r="K28" s="2">
        <v>113</v>
      </c>
      <c r="L28" s="2">
        <v>8.2</v>
      </c>
      <c r="M28" s="2">
        <v>1.25</v>
      </c>
      <c r="N28" s="2">
        <v>52</v>
      </c>
      <c r="O28" s="2">
        <v>22.5</v>
      </c>
      <c r="P28" s="2">
        <v>99.7</v>
      </c>
      <c r="Q28" s="2">
        <v>15</v>
      </c>
      <c r="R28" s="2">
        <v>7.507</v>
      </c>
      <c r="S28" s="2">
        <v>51.5</v>
      </c>
      <c r="T28" s="2">
        <v>136.7</v>
      </c>
      <c r="U28" s="2">
        <v>3.14</v>
      </c>
      <c r="V28" s="2">
        <v>1.39</v>
      </c>
      <c r="W28" s="2">
        <v>113</v>
      </c>
      <c r="X28" s="2">
        <v>7.9</v>
      </c>
      <c r="Y28" s="2">
        <v>1.18</v>
      </c>
      <c r="Z28" s="2">
        <v>52</v>
      </c>
      <c r="AA28" s="2">
        <v>22</v>
      </c>
      <c r="AB28" s="2">
        <v>90.3</v>
      </c>
      <c r="AC28" s="2">
        <v>15</v>
      </c>
      <c r="AF28" s="2" t="e">
        <f t="shared" si="0"/>
        <v>#DIV/0!</v>
      </c>
      <c r="AG28" s="2">
        <f t="shared" si="5"/>
        <v>0</v>
      </c>
      <c r="AH28" s="2">
        <f t="shared" si="6"/>
        <v>-0.0700000000000001</v>
      </c>
      <c r="AI28" s="2">
        <f t="shared" si="7"/>
        <v>7.711246</v>
      </c>
      <c r="AJ28" s="2">
        <f t="shared" si="8"/>
        <v>6.451754</v>
      </c>
      <c r="BT28" s="2">
        <f t="shared" si="9"/>
        <v>0</v>
      </c>
    </row>
    <row r="29" spans="1:72">
      <c r="A29" s="9"/>
      <c r="B29" s="9"/>
      <c r="C29" s="7" t="s">
        <v>80</v>
      </c>
      <c r="D29" s="2">
        <v>36.3</v>
      </c>
      <c r="E29" s="2">
        <v>251</v>
      </c>
      <c r="F29" s="2">
        <v>7.524</v>
      </c>
      <c r="G29" s="2">
        <v>63.1</v>
      </c>
      <c r="H29" s="2">
        <v>136.1</v>
      </c>
      <c r="I29" s="2">
        <v>2.88</v>
      </c>
      <c r="J29" s="2">
        <v>1.33</v>
      </c>
      <c r="K29" s="2">
        <v>113</v>
      </c>
      <c r="L29" s="2">
        <v>10.3</v>
      </c>
      <c r="M29" s="2">
        <v>1.66</v>
      </c>
      <c r="N29" s="2">
        <v>53</v>
      </c>
      <c r="O29" s="2">
        <v>22.1</v>
      </c>
      <c r="P29" s="2">
        <v>94.6</v>
      </c>
      <c r="Q29" s="2">
        <v>16</v>
      </c>
      <c r="R29" s="2">
        <v>7.546</v>
      </c>
      <c r="S29" s="2">
        <v>241.3</v>
      </c>
      <c r="T29" s="2">
        <v>135.2</v>
      </c>
      <c r="U29" s="2">
        <v>2.89</v>
      </c>
      <c r="V29" s="2">
        <v>1.33</v>
      </c>
      <c r="W29" s="2">
        <v>113</v>
      </c>
      <c r="X29" s="2">
        <v>10</v>
      </c>
      <c r="Y29" s="2">
        <v>1.66</v>
      </c>
      <c r="Z29" s="2">
        <v>52</v>
      </c>
      <c r="AA29" s="2">
        <v>20.7</v>
      </c>
      <c r="AB29" s="2">
        <v>99.7</v>
      </c>
      <c r="AC29" s="2">
        <v>15</v>
      </c>
      <c r="AF29" s="2" t="e">
        <f t="shared" si="0"/>
        <v>#DIV/0!</v>
      </c>
      <c r="AG29" s="2">
        <f t="shared" si="5"/>
        <v>0</v>
      </c>
      <c r="AH29" s="2">
        <f t="shared" si="6"/>
        <v>0</v>
      </c>
      <c r="AI29" s="2">
        <f t="shared" si="7"/>
        <v>6.787338</v>
      </c>
      <c r="AJ29" s="2">
        <f t="shared" si="8"/>
        <v>7.828724</v>
      </c>
      <c r="BT29" s="2">
        <f t="shared" si="9"/>
        <v>0</v>
      </c>
    </row>
    <row r="30" spans="1:72">
      <c r="A30" s="9"/>
      <c r="B30" s="9"/>
      <c r="C30" s="7" t="s">
        <v>81</v>
      </c>
      <c r="D30" s="2">
        <v>36.3</v>
      </c>
      <c r="E30" s="2">
        <v>251</v>
      </c>
      <c r="F30" s="2">
        <v>7.429</v>
      </c>
      <c r="G30" s="2">
        <v>226.5</v>
      </c>
      <c r="H30" s="2">
        <v>132.7</v>
      </c>
      <c r="I30" s="2">
        <v>2.94</v>
      </c>
      <c r="J30" s="2">
        <v>1.29</v>
      </c>
      <c r="K30" s="2">
        <v>110</v>
      </c>
      <c r="L30" s="2">
        <v>11.1</v>
      </c>
      <c r="M30" s="2">
        <v>1.22</v>
      </c>
      <c r="N30" s="2">
        <v>53</v>
      </c>
      <c r="O30" s="2">
        <v>21.6</v>
      </c>
      <c r="P30" s="2">
        <v>99.5</v>
      </c>
      <c r="Q30" s="2">
        <v>16</v>
      </c>
      <c r="R30" s="2">
        <v>7.433</v>
      </c>
      <c r="S30" s="2">
        <v>69.6</v>
      </c>
      <c r="T30" s="2">
        <v>132.9</v>
      </c>
      <c r="U30" s="2">
        <v>2.94</v>
      </c>
      <c r="V30" s="2">
        <v>1.3</v>
      </c>
      <c r="W30" s="2">
        <v>111</v>
      </c>
      <c r="X30" s="2">
        <v>10.8</v>
      </c>
      <c r="Y30" s="2">
        <v>1.2</v>
      </c>
      <c r="Z30" s="2">
        <v>53</v>
      </c>
      <c r="AA30" s="2">
        <v>21.2</v>
      </c>
      <c r="AB30" s="2">
        <v>94.7</v>
      </c>
      <c r="AC30" s="2">
        <v>16</v>
      </c>
      <c r="AF30" s="2" t="e">
        <f t="shared" si="0"/>
        <v>#DIV/0!</v>
      </c>
      <c r="AG30" s="2">
        <f t="shared" si="5"/>
        <v>0</v>
      </c>
      <c r="AH30" s="2">
        <f t="shared" si="6"/>
        <v>-0.02</v>
      </c>
      <c r="AI30" s="2">
        <f t="shared" si="7"/>
        <v>7.76864</v>
      </c>
      <c r="AJ30" s="2">
        <f t="shared" si="8"/>
        <v>6.941354</v>
      </c>
      <c r="BT30" s="2">
        <f t="shared" si="9"/>
        <v>0</v>
      </c>
    </row>
    <row r="31" s="1" customFormat="1" spans="1:72">
      <c r="A31" s="9"/>
      <c r="B31" s="9"/>
      <c r="C31" s="13" t="s">
        <v>82</v>
      </c>
      <c r="D31" s="1">
        <v>36.4</v>
      </c>
      <c r="F31" s="1">
        <v>7.332</v>
      </c>
      <c r="G31" s="1">
        <v>197.4</v>
      </c>
      <c r="H31" s="1">
        <v>134.2</v>
      </c>
      <c r="I31" s="1">
        <v>3.77</v>
      </c>
      <c r="J31" s="1">
        <v>1.23</v>
      </c>
      <c r="K31" s="1">
        <v>111</v>
      </c>
      <c r="L31" s="1">
        <v>12.1</v>
      </c>
      <c r="M31" s="1">
        <v>0.41</v>
      </c>
      <c r="N31" s="1">
        <v>52</v>
      </c>
      <c r="O31" s="1">
        <v>23.1</v>
      </c>
      <c r="P31" s="1">
        <v>99.3</v>
      </c>
      <c r="Q31" s="1">
        <v>15</v>
      </c>
      <c r="R31" s="1">
        <v>7.313</v>
      </c>
      <c r="S31" s="1">
        <v>61.6</v>
      </c>
      <c r="T31" s="1">
        <v>133.4</v>
      </c>
      <c r="U31" s="1">
        <v>3.72</v>
      </c>
      <c r="V31" s="1">
        <v>1.23</v>
      </c>
      <c r="W31" s="1">
        <v>111</v>
      </c>
      <c r="X31" s="1">
        <v>12</v>
      </c>
      <c r="Y31" s="1">
        <v>0.45</v>
      </c>
      <c r="Z31" s="1">
        <v>52</v>
      </c>
      <c r="AA31" s="1">
        <v>23.7</v>
      </c>
      <c r="AB31" s="1">
        <v>89.4</v>
      </c>
      <c r="AC31" s="1">
        <v>15</v>
      </c>
      <c r="AF31" s="1" t="e">
        <f t="shared" si="0"/>
        <v>#DIV/0!</v>
      </c>
      <c r="AG31" s="1" t="e">
        <f t="shared" si="5"/>
        <v>#DIV/0!</v>
      </c>
      <c r="AH31" s="1">
        <f t="shared" si="6"/>
        <v>0.04</v>
      </c>
      <c r="AI31" s="1">
        <f t="shared" si="7"/>
        <v>7.531164</v>
      </c>
      <c r="AJ31" s="1">
        <f t="shared" si="8"/>
        <v>6.420352</v>
      </c>
      <c r="AK31" s="1">
        <v>1.72</v>
      </c>
      <c r="AL31" s="1">
        <v>0.38</v>
      </c>
      <c r="AM31" s="1">
        <v>64.27</v>
      </c>
      <c r="AN31" s="1">
        <v>21.58</v>
      </c>
      <c r="AO31" s="1">
        <v>11.93</v>
      </c>
      <c r="AP31" s="1">
        <v>-34.81</v>
      </c>
      <c r="AQ31" s="1">
        <v>9</v>
      </c>
      <c r="AR31" s="1">
        <v>95</v>
      </c>
      <c r="AS31" s="1">
        <v>127</v>
      </c>
      <c r="AT31" s="1">
        <v>260</v>
      </c>
      <c r="AU31" s="1">
        <v>198</v>
      </c>
      <c r="AV31" s="1">
        <v>115</v>
      </c>
      <c r="AW31" s="1">
        <v>7</v>
      </c>
      <c r="AX31" s="1">
        <v>39</v>
      </c>
      <c r="AY31" s="1">
        <v>120</v>
      </c>
      <c r="AZ31" s="1">
        <v>1599</v>
      </c>
      <c r="BA31" s="1">
        <v>-1316</v>
      </c>
      <c r="BB31" s="1">
        <v>43</v>
      </c>
      <c r="BC31" s="1">
        <v>38</v>
      </c>
      <c r="BD31" s="1">
        <v>35</v>
      </c>
      <c r="BE31" s="1">
        <v>20</v>
      </c>
      <c r="BF31" s="1">
        <v>35</v>
      </c>
      <c r="BG31" s="1">
        <v>20</v>
      </c>
      <c r="BH31" s="1">
        <v>15</v>
      </c>
      <c r="BI31" s="1">
        <v>1469</v>
      </c>
      <c r="BJ31" s="1">
        <v>43</v>
      </c>
      <c r="BK31" s="1">
        <v>1211</v>
      </c>
      <c r="BL31" s="1">
        <v>6</v>
      </c>
      <c r="BM31" s="1">
        <v>7228</v>
      </c>
      <c r="BN31" s="1">
        <v>6</v>
      </c>
      <c r="BO31" s="1">
        <v>0</v>
      </c>
      <c r="BP31" s="1">
        <v>0</v>
      </c>
      <c r="BQ31" s="1">
        <v>0</v>
      </c>
      <c r="BR31" s="1">
        <v>1629</v>
      </c>
      <c r="BS31" s="1">
        <v>98</v>
      </c>
      <c r="BT31" s="1">
        <f t="shared" si="9"/>
        <v>1893.40372938659</v>
      </c>
    </row>
    <row r="32" spans="1:72">
      <c r="A32" s="11"/>
      <c r="B32" s="11"/>
      <c r="C32" s="12" t="s">
        <v>83</v>
      </c>
      <c r="AF32" s="2" t="e">
        <f t="shared" si="0"/>
        <v>#DIV/0!</v>
      </c>
      <c r="AG32" s="2" t="e">
        <f t="shared" si="5"/>
        <v>#DIV/0!</v>
      </c>
      <c r="AH32" s="2">
        <f t="shared" si="6"/>
        <v>0</v>
      </c>
      <c r="AI32" s="2">
        <f t="shared" si="7"/>
        <v>0</v>
      </c>
      <c r="AJ32" s="2">
        <f t="shared" si="8"/>
        <v>0</v>
      </c>
      <c r="AK32" s="3">
        <v>7.07</v>
      </c>
      <c r="AL32" s="3">
        <v>0.37</v>
      </c>
      <c r="AM32" s="3">
        <v>21.05</v>
      </c>
      <c r="AN32" s="3">
        <v>67.83</v>
      </c>
      <c r="AO32" s="3">
        <v>11.08</v>
      </c>
      <c r="AP32" s="3">
        <v>-5</v>
      </c>
      <c r="AQ32" s="20">
        <v>7</v>
      </c>
      <c r="AR32" s="20">
        <v>51</v>
      </c>
      <c r="AS32" s="20">
        <v>69</v>
      </c>
      <c r="AT32" s="20">
        <v>112</v>
      </c>
      <c r="AU32" s="20">
        <v>282</v>
      </c>
      <c r="AV32" s="20">
        <v>63</v>
      </c>
      <c r="AW32" s="20">
        <v>4</v>
      </c>
      <c r="AX32" s="20">
        <v>42</v>
      </c>
      <c r="AY32" s="20">
        <v>109</v>
      </c>
      <c r="AZ32" s="20">
        <v>1794</v>
      </c>
      <c r="BA32" s="20">
        <v>-977</v>
      </c>
      <c r="BB32" s="20">
        <v>54</v>
      </c>
      <c r="BC32" s="20">
        <v>32</v>
      </c>
      <c r="BD32" s="20">
        <v>10</v>
      </c>
      <c r="BE32" s="20">
        <v>-3</v>
      </c>
      <c r="BF32" s="20">
        <v>10</v>
      </c>
      <c r="BG32" s="20">
        <v>-3</v>
      </c>
      <c r="BH32" s="20">
        <v>14</v>
      </c>
      <c r="BI32" s="20">
        <v>1512</v>
      </c>
      <c r="BJ32" s="20">
        <v>134</v>
      </c>
      <c r="BK32" s="20">
        <v>598</v>
      </c>
      <c r="BL32" s="20">
        <v>4</v>
      </c>
      <c r="BM32" s="20">
        <v>1058</v>
      </c>
      <c r="BN32" s="20">
        <v>11</v>
      </c>
      <c r="BO32" s="20">
        <v>0</v>
      </c>
      <c r="BP32" s="20">
        <v>0</v>
      </c>
      <c r="BQ32" s="20">
        <v>0</v>
      </c>
      <c r="BR32" s="20">
        <v>683</v>
      </c>
      <c r="BS32" s="20">
        <v>110</v>
      </c>
      <c r="BT32" s="2" t="e">
        <f t="shared" si="9"/>
        <v>#DIV/0!</v>
      </c>
    </row>
    <row r="33" spans="1:72">
      <c r="A33" s="6">
        <v>6</v>
      </c>
      <c r="B33" s="6" t="s">
        <v>89</v>
      </c>
      <c r="C33" s="7" t="s">
        <v>78</v>
      </c>
      <c r="D33" s="2">
        <v>32.2</v>
      </c>
      <c r="E33" s="2">
        <v>202</v>
      </c>
      <c r="F33" s="2">
        <v>7.212</v>
      </c>
      <c r="G33" s="2">
        <v>247.2</v>
      </c>
      <c r="H33" s="2">
        <v>134.9</v>
      </c>
      <c r="I33" s="2">
        <v>5.71</v>
      </c>
      <c r="J33" s="2">
        <v>1.23</v>
      </c>
      <c r="K33" s="2">
        <v>110</v>
      </c>
      <c r="L33" s="2">
        <v>9.4</v>
      </c>
      <c r="M33" s="2">
        <v>3.54</v>
      </c>
      <c r="N33" s="2">
        <v>38</v>
      </c>
      <c r="O33" s="2">
        <v>19.5</v>
      </c>
      <c r="P33" s="2">
        <v>99.4</v>
      </c>
      <c r="Q33" s="2">
        <v>11</v>
      </c>
      <c r="R33" s="2">
        <v>7.186</v>
      </c>
      <c r="S33" s="2">
        <v>70.7</v>
      </c>
      <c r="T33" s="2">
        <v>135</v>
      </c>
      <c r="U33" s="2">
        <v>5.62</v>
      </c>
      <c r="V33" s="2">
        <v>1.27</v>
      </c>
      <c r="W33" s="2">
        <v>110</v>
      </c>
      <c r="X33" s="2">
        <v>9.1</v>
      </c>
      <c r="Y33" s="2">
        <v>3.22</v>
      </c>
      <c r="Z33" s="2">
        <v>40</v>
      </c>
      <c r="AA33" s="2">
        <v>19.8</v>
      </c>
      <c r="AB33" s="2">
        <v>89.7</v>
      </c>
      <c r="AF33" s="2" t="e">
        <f t="shared" si="0"/>
        <v>#DIV/0!</v>
      </c>
      <c r="AG33" s="2">
        <f t="shared" si="5"/>
        <v>0</v>
      </c>
      <c r="AH33" s="2">
        <f t="shared" si="6"/>
        <v>-0.32</v>
      </c>
      <c r="AI33" s="2">
        <f t="shared" si="7"/>
        <v>6.09416</v>
      </c>
      <c r="AJ33" s="2">
        <f t="shared" si="8"/>
        <v>4.786694</v>
      </c>
      <c r="BT33" s="2">
        <f t="shared" si="9"/>
        <v>0</v>
      </c>
    </row>
    <row r="34" spans="1:72">
      <c r="A34" s="9"/>
      <c r="B34" s="9"/>
      <c r="C34" s="7" t="s">
        <v>79</v>
      </c>
      <c r="D34" s="2">
        <v>32.2</v>
      </c>
      <c r="E34" s="2">
        <v>202</v>
      </c>
      <c r="F34" s="2">
        <v>7.392</v>
      </c>
      <c r="G34" s="2">
        <v>261.3</v>
      </c>
      <c r="H34" s="2">
        <v>134.1</v>
      </c>
      <c r="I34" s="2">
        <v>5.78</v>
      </c>
      <c r="J34" s="2">
        <v>1.21</v>
      </c>
      <c r="K34" s="2">
        <v>110</v>
      </c>
      <c r="L34" s="2">
        <v>10.9</v>
      </c>
      <c r="M34" s="2">
        <v>4.3</v>
      </c>
      <c r="N34" s="2">
        <v>39</v>
      </c>
      <c r="O34" s="2">
        <v>19.2</v>
      </c>
      <c r="P34" s="2">
        <v>99.6</v>
      </c>
      <c r="Q34" s="2">
        <v>12</v>
      </c>
      <c r="R34" s="2">
        <v>7.383</v>
      </c>
      <c r="S34" s="2">
        <v>97.7</v>
      </c>
      <c r="T34" s="2">
        <v>133.9</v>
      </c>
      <c r="U34" s="2">
        <v>5.73</v>
      </c>
      <c r="V34" s="2">
        <v>1.23</v>
      </c>
      <c r="W34" s="2">
        <v>109</v>
      </c>
      <c r="X34" s="2">
        <v>10.3</v>
      </c>
      <c r="Y34" s="2">
        <v>3.59</v>
      </c>
      <c r="Z34" s="2">
        <v>39</v>
      </c>
      <c r="AA34" s="2">
        <v>17.7</v>
      </c>
      <c r="AB34" s="2">
        <v>97.4</v>
      </c>
      <c r="AF34" s="2" t="e">
        <f t="shared" si="0"/>
        <v>#DIV/0!</v>
      </c>
      <c r="AG34" s="2">
        <f t="shared" si="5"/>
        <v>0</v>
      </c>
      <c r="AH34" s="2">
        <f t="shared" si="6"/>
        <v>-0.71</v>
      </c>
      <c r="AI34" s="2">
        <f t="shared" si="7"/>
        <v>6.015126</v>
      </c>
      <c r="AJ34" s="2">
        <f t="shared" si="8"/>
        <v>5.392994</v>
      </c>
      <c r="BT34" s="2">
        <f t="shared" si="9"/>
        <v>0</v>
      </c>
    </row>
    <row r="35" spans="1:72">
      <c r="A35" s="9"/>
      <c r="B35" s="9"/>
      <c r="C35" s="7" t="s">
        <v>80</v>
      </c>
      <c r="D35" s="2">
        <v>32.2</v>
      </c>
      <c r="E35" s="2">
        <v>202</v>
      </c>
      <c r="F35" s="2">
        <v>7.496</v>
      </c>
      <c r="G35" s="2">
        <v>250.2</v>
      </c>
      <c r="H35" s="2">
        <v>133</v>
      </c>
      <c r="I35" s="2">
        <v>5.78</v>
      </c>
      <c r="J35" s="2">
        <v>1.2</v>
      </c>
      <c r="K35" s="2">
        <v>109</v>
      </c>
      <c r="L35" s="2">
        <v>12.2</v>
      </c>
      <c r="M35" s="2">
        <v>4.24</v>
      </c>
      <c r="N35" s="2">
        <v>39</v>
      </c>
      <c r="O35" s="2">
        <v>16.3</v>
      </c>
      <c r="P35" s="2">
        <v>99.7</v>
      </c>
      <c r="Q35" s="2">
        <v>12</v>
      </c>
      <c r="R35" s="2">
        <v>7.483</v>
      </c>
      <c r="S35" s="2">
        <v>82.4</v>
      </c>
      <c r="T35" s="2">
        <v>132.9</v>
      </c>
      <c r="U35" s="2">
        <v>5.78</v>
      </c>
      <c r="V35" s="2">
        <v>1.2</v>
      </c>
      <c r="W35" s="2">
        <v>109</v>
      </c>
      <c r="X35" s="2">
        <v>12.1</v>
      </c>
      <c r="Y35" s="2">
        <v>4.19</v>
      </c>
      <c r="Z35" s="2">
        <v>38</v>
      </c>
      <c r="AA35" s="2">
        <v>15.8</v>
      </c>
      <c r="AB35" s="2">
        <v>97.1</v>
      </c>
      <c r="AF35" s="2" t="e">
        <f t="shared" si="0"/>
        <v>#DIV/0!</v>
      </c>
      <c r="AG35" s="2">
        <f t="shared" si="5"/>
        <v>0</v>
      </c>
      <c r="AH35" s="2">
        <f t="shared" si="6"/>
        <v>-0.0499999999999998</v>
      </c>
      <c r="AI35" s="2">
        <f t="shared" si="7"/>
        <v>5.852344</v>
      </c>
      <c r="AJ35" s="2">
        <f t="shared" si="8"/>
        <v>5.329886</v>
      </c>
      <c r="BT35" s="2">
        <f t="shared" si="9"/>
        <v>0</v>
      </c>
    </row>
    <row r="36" spans="1:72">
      <c r="A36" s="9"/>
      <c r="B36" s="9"/>
      <c r="C36" s="7" t="s">
        <v>81</v>
      </c>
      <c r="D36" s="2">
        <v>32.2</v>
      </c>
      <c r="E36" s="2">
        <v>202</v>
      </c>
      <c r="F36" s="2">
        <v>7.447</v>
      </c>
      <c r="G36" s="2">
        <v>217</v>
      </c>
      <c r="H36" s="2">
        <v>132.4</v>
      </c>
      <c r="I36" s="2">
        <v>5.9</v>
      </c>
      <c r="J36" s="2">
        <v>1.29</v>
      </c>
      <c r="K36" s="2">
        <v>109</v>
      </c>
      <c r="L36" s="2">
        <v>15.1</v>
      </c>
      <c r="M36" s="2">
        <v>5.12</v>
      </c>
      <c r="N36" s="2">
        <v>38</v>
      </c>
      <c r="O36" s="2">
        <v>16.1</v>
      </c>
      <c r="P36" s="2">
        <v>99.5</v>
      </c>
      <c r="Q36" s="2">
        <v>11</v>
      </c>
      <c r="R36" s="2">
        <v>7.433</v>
      </c>
      <c r="S36" s="2">
        <v>68.2</v>
      </c>
      <c r="T36" s="2">
        <v>132.3</v>
      </c>
      <c r="U36" s="2">
        <v>5.92</v>
      </c>
      <c r="V36" s="2">
        <v>1.32</v>
      </c>
      <c r="W36" s="2">
        <v>109</v>
      </c>
      <c r="X36" s="2">
        <v>15.2</v>
      </c>
      <c r="Y36" s="2">
        <v>4.87</v>
      </c>
      <c r="Z36" s="2">
        <v>39</v>
      </c>
      <c r="AA36" s="2">
        <v>16.3</v>
      </c>
      <c r="AB36" s="2">
        <v>94.6</v>
      </c>
      <c r="AF36" s="2" t="e">
        <f t="shared" si="0"/>
        <v>#DIV/0!</v>
      </c>
      <c r="AG36" s="2">
        <f t="shared" si="5"/>
        <v>0</v>
      </c>
      <c r="AH36" s="2">
        <f t="shared" si="6"/>
        <v>-0.25</v>
      </c>
      <c r="AI36" s="2">
        <f t="shared" si="7"/>
        <v>5.87257</v>
      </c>
      <c r="AJ36" s="2">
        <f t="shared" si="8"/>
        <v>5.028452</v>
      </c>
      <c r="BT36" s="2">
        <f t="shared" si="9"/>
        <v>0</v>
      </c>
    </row>
    <row r="37" s="1" customFormat="1" spans="1:72">
      <c r="A37" s="9"/>
      <c r="B37" s="9"/>
      <c r="C37" s="13" t="s">
        <v>82</v>
      </c>
      <c r="D37" s="1">
        <v>32.2</v>
      </c>
      <c r="E37" s="2">
        <v>202</v>
      </c>
      <c r="F37" s="1">
        <v>7.366</v>
      </c>
      <c r="G37" s="1">
        <v>240.9</v>
      </c>
      <c r="H37" s="1">
        <v>129.5</v>
      </c>
      <c r="I37" s="1">
        <v>6.33</v>
      </c>
      <c r="J37" s="1">
        <v>1.24</v>
      </c>
      <c r="K37" s="1">
        <v>107</v>
      </c>
      <c r="L37" s="1">
        <v>17.4</v>
      </c>
      <c r="M37" s="1">
        <v>6.22</v>
      </c>
      <c r="N37" s="1">
        <v>38</v>
      </c>
      <c r="O37" s="1">
        <v>12.2</v>
      </c>
      <c r="P37" s="1">
        <v>99.5</v>
      </c>
      <c r="Q37" s="1">
        <v>11</v>
      </c>
      <c r="R37" s="1">
        <v>7.324</v>
      </c>
      <c r="S37" s="1">
        <v>66.6</v>
      </c>
      <c r="T37" s="1">
        <v>129.6</v>
      </c>
      <c r="U37" s="1">
        <v>6.32</v>
      </c>
      <c r="V37" s="1">
        <v>1.23</v>
      </c>
      <c r="W37" s="1">
        <v>108</v>
      </c>
      <c r="X37" s="1">
        <v>18</v>
      </c>
      <c r="Y37" s="1">
        <v>6.43</v>
      </c>
      <c r="Z37" s="1">
        <v>37</v>
      </c>
      <c r="AA37" s="1">
        <v>13</v>
      </c>
      <c r="AB37" s="1">
        <v>92.3</v>
      </c>
      <c r="AF37" s="1" t="e">
        <f t="shared" si="0"/>
        <v>#DIV/0!</v>
      </c>
      <c r="AG37" s="1">
        <f t="shared" si="5"/>
        <v>0</v>
      </c>
      <c r="AH37" s="1">
        <f t="shared" si="6"/>
        <v>0.21</v>
      </c>
      <c r="AI37" s="1">
        <f t="shared" si="7"/>
        <v>5.68</v>
      </c>
      <c r="AJ37" s="1">
        <f t="shared" si="8"/>
        <v>4.906376</v>
      </c>
      <c r="AK37" s="1">
        <v>23.7</v>
      </c>
      <c r="AL37" s="1">
        <v>74.35</v>
      </c>
      <c r="AM37" s="1">
        <v>8.5</v>
      </c>
      <c r="AN37" s="1">
        <v>-163.23</v>
      </c>
      <c r="AO37" s="1">
        <v>74.35</v>
      </c>
      <c r="AP37" s="1">
        <v>2.58</v>
      </c>
      <c r="AQ37" s="1">
        <v>45</v>
      </c>
      <c r="AR37" s="1">
        <v>55</v>
      </c>
      <c r="AS37" s="1">
        <v>41</v>
      </c>
      <c r="AT37" s="1">
        <v>87</v>
      </c>
      <c r="AU37" s="1">
        <v>366</v>
      </c>
      <c r="AV37" s="1">
        <v>59</v>
      </c>
      <c r="AW37" s="1">
        <v>28</v>
      </c>
      <c r="AX37" s="1">
        <v>16</v>
      </c>
      <c r="AY37" s="1">
        <v>52</v>
      </c>
      <c r="AZ37" s="1">
        <v>742</v>
      </c>
      <c r="BA37" s="1">
        <v>-709</v>
      </c>
      <c r="BB37" s="1">
        <v>107</v>
      </c>
      <c r="BC37" s="1">
        <v>400</v>
      </c>
      <c r="BD37" s="1">
        <v>33</v>
      </c>
      <c r="BE37" s="1">
        <v>27</v>
      </c>
      <c r="BF37" s="1">
        <v>29</v>
      </c>
      <c r="BG37" s="1">
        <v>29</v>
      </c>
      <c r="BH37" s="1">
        <v>6</v>
      </c>
      <c r="BI37" s="1">
        <v>656</v>
      </c>
      <c r="BJ37" s="1">
        <v>17</v>
      </c>
      <c r="BK37" s="1">
        <v>43</v>
      </c>
      <c r="BL37" s="1">
        <v>10</v>
      </c>
      <c r="BM37" s="1">
        <v>6658</v>
      </c>
      <c r="BN37" s="1">
        <v>8</v>
      </c>
      <c r="BO37" s="1">
        <v>0</v>
      </c>
      <c r="BP37" s="1">
        <v>0</v>
      </c>
      <c r="BQ37" s="1">
        <v>0</v>
      </c>
      <c r="BR37" s="1">
        <v>169</v>
      </c>
      <c r="BS37" s="1">
        <v>114</v>
      </c>
      <c r="BT37" s="1">
        <f t="shared" si="9"/>
        <v>916.335110962696</v>
      </c>
    </row>
    <row r="38" spans="1:72">
      <c r="A38" s="11"/>
      <c r="B38" s="11"/>
      <c r="C38" s="12" t="s">
        <v>83</v>
      </c>
      <c r="D38" s="2">
        <v>32.3</v>
      </c>
      <c r="AF38" s="2" t="e">
        <f t="shared" si="0"/>
        <v>#DIV/0!</v>
      </c>
      <c r="AG38" s="2" t="e">
        <f t="shared" si="5"/>
        <v>#DIV/0!</v>
      </c>
      <c r="AH38" s="2">
        <f t="shared" si="6"/>
        <v>0</v>
      </c>
      <c r="AI38" s="2">
        <f t="shared" si="7"/>
        <v>0</v>
      </c>
      <c r="AJ38" s="2">
        <f t="shared" si="8"/>
        <v>0</v>
      </c>
      <c r="AK38" s="3">
        <v>1.94</v>
      </c>
      <c r="AL38" s="3">
        <v>0.74</v>
      </c>
      <c r="AM38" s="3">
        <v>23.26</v>
      </c>
      <c r="AN38" s="3">
        <v>-3.26</v>
      </c>
      <c r="AO38" s="3">
        <v>4.52</v>
      </c>
      <c r="AP38" s="3">
        <v>-9</v>
      </c>
      <c r="AQ38" s="2">
        <v>18</v>
      </c>
      <c r="AR38" s="2">
        <v>68</v>
      </c>
      <c r="AS38" s="2">
        <v>62</v>
      </c>
      <c r="AT38" s="2">
        <v>31</v>
      </c>
      <c r="AU38" s="2">
        <v>248</v>
      </c>
      <c r="AV38" s="2">
        <v>61</v>
      </c>
      <c r="AW38" s="2">
        <v>11</v>
      </c>
      <c r="AX38" s="2">
        <v>47</v>
      </c>
      <c r="AY38" s="2">
        <v>87</v>
      </c>
      <c r="AZ38" s="2">
        <v>1181</v>
      </c>
      <c r="BA38" s="2">
        <v>-1011</v>
      </c>
      <c r="BB38" s="2">
        <v>41</v>
      </c>
      <c r="BC38" s="2">
        <v>72</v>
      </c>
      <c r="BD38" s="2">
        <v>108</v>
      </c>
      <c r="BE38" s="2">
        <v>106</v>
      </c>
      <c r="BF38" s="2">
        <v>107</v>
      </c>
      <c r="BG38" s="2">
        <v>107</v>
      </c>
      <c r="BH38" s="2">
        <v>1</v>
      </c>
      <c r="BI38" s="2">
        <v>213</v>
      </c>
      <c r="BJ38" s="2">
        <v>1</v>
      </c>
      <c r="BK38" s="2">
        <v>57</v>
      </c>
      <c r="BL38" s="2">
        <v>47</v>
      </c>
      <c r="BM38" s="2">
        <v>2365</v>
      </c>
      <c r="BN38" s="2">
        <v>0</v>
      </c>
      <c r="BO38" s="2">
        <v>0</v>
      </c>
      <c r="BP38" s="2">
        <v>0</v>
      </c>
      <c r="BQ38" s="2">
        <v>0</v>
      </c>
      <c r="BR38" s="2">
        <v>13</v>
      </c>
      <c r="BS38" s="2">
        <v>145</v>
      </c>
      <c r="BT38" s="2">
        <f t="shared" si="9"/>
        <v>296.924947854279</v>
      </c>
    </row>
    <row r="39" spans="1:72">
      <c r="A39" s="6">
        <v>7</v>
      </c>
      <c r="B39" s="6" t="s">
        <v>90</v>
      </c>
      <c r="C39" s="7" t="s">
        <v>78</v>
      </c>
      <c r="D39" s="2">
        <v>29.5</v>
      </c>
      <c r="F39" s="2">
        <v>7.246</v>
      </c>
      <c r="G39" s="2">
        <v>79</v>
      </c>
      <c r="H39" s="2">
        <v>131.8</v>
      </c>
      <c r="I39" s="2">
        <v>3.68</v>
      </c>
      <c r="J39" s="2">
        <v>0.78</v>
      </c>
      <c r="K39" s="2">
        <v>108</v>
      </c>
      <c r="M39" s="2">
        <v>1.19</v>
      </c>
      <c r="N39" s="2">
        <v>47</v>
      </c>
      <c r="O39" s="2">
        <v>18.6</v>
      </c>
      <c r="P39" s="2">
        <v>93.7</v>
      </c>
      <c r="Q39" s="2">
        <v>14</v>
      </c>
      <c r="R39" s="2">
        <v>7.241</v>
      </c>
      <c r="S39" s="2">
        <v>49.8</v>
      </c>
      <c r="T39" s="2">
        <v>132.7</v>
      </c>
      <c r="U39" s="2">
        <v>3.55</v>
      </c>
      <c r="V39" s="2">
        <v>0.78</v>
      </c>
      <c r="W39" s="2">
        <v>109</v>
      </c>
      <c r="Y39" s="2">
        <v>1.25</v>
      </c>
      <c r="Z39" s="2">
        <v>47</v>
      </c>
      <c r="AA39" s="2">
        <v>20</v>
      </c>
      <c r="AB39" s="2">
        <v>78.4</v>
      </c>
      <c r="AC39" s="2">
        <v>14</v>
      </c>
      <c r="AF39" s="2" t="e">
        <f t="shared" si="0"/>
        <v>#DIV/0!</v>
      </c>
      <c r="AG39" s="2" t="e">
        <f t="shared" si="5"/>
        <v>#DIV/0!</v>
      </c>
      <c r="AH39" s="2">
        <f t="shared" si="6"/>
        <v>0.0600000000000001</v>
      </c>
      <c r="AI39" s="2">
        <f t="shared" si="7"/>
        <v>6.146126</v>
      </c>
      <c r="AJ39" s="2">
        <f t="shared" si="8"/>
        <v>5.092012</v>
      </c>
      <c r="BT39" s="2">
        <f t="shared" si="9"/>
        <v>0</v>
      </c>
    </row>
    <row r="40" spans="1:72">
      <c r="A40" s="9"/>
      <c r="B40" s="9"/>
      <c r="C40" s="7" t="s">
        <v>79</v>
      </c>
      <c r="D40" s="2">
        <v>29.5</v>
      </c>
      <c r="F40" s="2">
        <v>7.346</v>
      </c>
      <c r="G40" s="2">
        <v>126.2</v>
      </c>
      <c r="H40" s="2">
        <v>133.4</v>
      </c>
      <c r="I40" s="2">
        <v>3.03</v>
      </c>
      <c r="J40" s="2">
        <v>1.62</v>
      </c>
      <c r="K40" s="2">
        <v>112</v>
      </c>
      <c r="L40" s="2">
        <v>6.3</v>
      </c>
      <c r="M40" s="2">
        <v>1.89</v>
      </c>
      <c r="N40" s="2">
        <v>46</v>
      </c>
      <c r="O40" s="2">
        <v>21.1</v>
      </c>
      <c r="P40" s="2">
        <v>98.4</v>
      </c>
      <c r="Q40" s="2">
        <v>14</v>
      </c>
      <c r="R40" s="2">
        <v>7.339</v>
      </c>
      <c r="S40" s="2">
        <v>38.7</v>
      </c>
      <c r="T40" s="2">
        <v>133.3</v>
      </c>
      <c r="U40" s="2">
        <v>3.03</v>
      </c>
      <c r="V40" s="2">
        <v>1.34</v>
      </c>
      <c r="W40" s="2">
        <v>110</v>
      </c>
      <c r="X40" s="2">
        <v>5.8</v>
      </c>
      <c r="Y40" s="2">
        <v>1.59</v>
      </c>
      <c r="Z40" s="2">
        <v>48</v>
      </c>
      <c r="AA40" s="2">
        <v>18.1</v>
      </c>
      <c r="AB40" s="2">
        <v>70.5</v>
      </c>
      <c r="AC40" s="2">
        <v>14</v>
      </c>
      <c r="AF40" s="2" t="e">
        <f t="shared" si="0"/>
        <v>#DIV/0!</v>
      </c>
      <c r="AG40" s="2" t="e">
        <f>AE40*1000*((1.34*Z40/10*P40/100+0.0031*S40)-(1.34*N40/10*AB40/100+0.0031*#REF!))/(E40/100)/100</f>
        <v>#REF!</v>
      </c>
      <c r="AH40" s="2">
        <f t="shared" si="6"/>
        <v>-0.3</v>
      </c>
      <c r="AI40" s="2">
        <f>(1.34*Z40/10*P40/100+0.0031*S40)</f>
        <v>6.449058</v>
      </c>
      <c r="AJ40" s="2" t="e">
        <f>(1.34*N40/10*AB40/100+0.0031*#REF!)</f>
        <v>#REF!</v>
      </c>
      <c r="BT40" s="2">
        <f>BI40/(0.0734*(POWER(D44,0.656)))</f>
        <v>0</v>
      </c>
    </row>
    <row r="41" spans="1:72">
      <c r="A41" s="9"/>
      <c r="B41" s="9"/>
      <c r="C41" s="7" t="s">
        <v>80</v>
      </c>
      <c r="D41" s="2">
        <v>29.5</v>
      </c>
      <c r="F41" s="2">
        <v>7.401</v>
      </c>
      <c r="G41" s="2">
        <v>120.2</v>
      </c>
      <c r="H41" s="2">
        <v>134</v>
      </c>
      <c r="I41" s="2">
        <v>2.68</v>
      </c>
      <c r="J41" s="2">
        <v>1.33</v>
      </c>
      <c r="K41" s="2">
        <v>111</v>
      </c>
      <c r="L41" s="2">
        <v>6</v>
      </c>
      <c r="M41" s="2">
        <v>1.9</v>
      </c>
      <c r="N41" s="2">
        <v>49</v>
      </c>
      <c r="O41" s="2">
        <v>19.1</v>
      </c>
      <c r="P41" s="2">
        <v>98.4</v>
      </c>
      <c r="Q41" s="2">
        <v>14</v>
      </c>
      <c r="R41" s="2">
        <v>7.389</v>
      </c>
      <c r="S41" s="2">
        <v>41.9</v>
      </c>
      <c r="T41" s="2">
        <v>134.1</v>
      </c>
      <c r="U41" s="2">
        <v>2.74</v>
      </c>
      <c r="V41" s="2">
        <v>1.36</v>
      </c>
      <c r="W41" s="2">
        <v>111</v>
      </c>
      <c r="X41" s="2">
        <v>5.7</v>
      </c>
      <c r="Y41" s="2">
        <v>1.57</v>
      </c>
      <c r="Z41" s="2">
        <v>49</v>
      </c>
      <c r="AA41" s="2">
        <v>17.2</v>
      </c>
      <c r="AB41" s="2">
        <v>78</v>
      </c>
      <c r="AC41" s="2">
        <v>14</v>
      </c>
      <c r="AF41" s="2" t="e">
        <f t="shared" si="0"/>
        <v>#DIV/0!</v>
      </c>
      <c r="AG41" s="2" t="e">
        <f t="shared" si="5"/>
        <v>#DIV/0!</v>
      </c>
      <c r="AH41" s="2">
        <f t="shared" si="6"/>
        <v>-0.33</v>
      </c>
      <c r="AI41" s="2">
        <f t="shared" si="7"/>
        <v>6.833564</v>
      </c>
      <c r="AJ41" s="2">
        <f t="shared" si="8"/>
        <v>5.25137</v>
      </c>
      <c r="BT41" s="2">
        <f t="shared" si="9"/>
        <v>0</v>
      </c>
    </row>
    <row r="42" spans="1:72">
      <c r="A42" s="9"/>
      <c r="B42" s="9"/>
      <c r="C42" s="7" t="s">
        <v>81</v>
      </c>
      <c r="D42" s="2">
        <v>29.5</v>
      </c>
      <c r="F42" s="2">
        <v>7.422</v>
      </c>
      <c r="G42" s="2">
        <v>116.5</v>
      </c>
      <c r="H42" s="2">
        <v>134.5</v>
      </c>
      <c r="I42" s="2">
        <v>2.74</v>
      </c>
      <c r="J42" s="2">
        <v>1.3</v>
      </c>
      <c r="K42" s="2">
        <v>112</v>
      </c>
      <c r="L42" s="2">
        <v>6.2</v>
      </c>
      <c r="M42" s="2">
        <v>1.3</v>
      </c>
      <c r="N42" s="2">
        <v>48</v>
      </c>
      <c r="O42" s="2">
        <v>18.3</v>
      </c>
      <c r="P42" s="2">
        <v>98.4</v>
      </c>
      <c r="Q42" s="2">
        <v>14</v>
      </c>
      <c r="R42" s="2">
        <v>7.413</v>
      </c>
      <c r="S42" s="2">
        <v>36.5</v>
      </c>
      <c r="T42" s="2">
        <v>134.8</v>
      </c>
      <c r="U42" s="2">
        <v>2.77</v>
      </c>
      <c r="V42" s="2">
        <v>1.32</v>
      </c>
      <c r="W42" s="2">
        <v>112</v>
      </c>
      <c r="X42" s="2">
        <v>6.2</v>
      </c>
      <c r="Y42" s="2">
        <v>1.22</v>
      </c>
      <c r="Z42" s="2">
        <v>47</v>
      </c>
      <c r="AA42" s="2">
        <v>18.8</v>
      </c>
      <c r="AB42" s="2">
        <v>71.6</v>
      </c>
      <c r="AC42" s="2">
        <v>14</v>
      </c>
      <c r="AG42" s="2" t="e">
        <f t="shared" si="5"/>
        <v>#DIV/0!</v>
      </c>
      <c r="AH42" s="2">
        <f t="shared" si="6"/>
        <v>-0.0800000000000001</v>
      </c>
      <c r="AI42" s="2">
        <f t="shared" si="7"/>
        <v>6.558382</v>
      </c>
      <c r="AJ42" s="2">
        <f t="shared" si="8"/>
        <v>4.718462</v>
      </c>
      <c r="BT42" s="2">
        <f t="shared" si="9"/>
        <v>0</v>
      </c>
    </row>
    <row r="43" spans="1:72">
      <c r="A43" s="9"/>
      <c r="B43" s="9"/>
      <c r="C43" s="10" t="s">
        <v>82</v>
      </c>
      <c r="D43" s="2">
        <v>29.5</v>
      </c>
      <c r="F43" s="2">
        <v>7.488</v>
      </c>
      <c r="G43" s="2">
        <v>129</v>
      </c>
      <c r="H43" s="2">
        <v>132.8</v>
      </c>
      <c r="I43" s="2">
        <v>3.47</v>
      </c>
      <c r="J43" s="2">
        <v>1.19</v>
      </c>
      <c r="K43" s="2">
        <v>113</v>
      </c>
      <c r="L43" s="2">
        <v>5.3</v>
      </c>
      <c r="M43" s="2">
        <v>0.82</v>
      </c>
      <c r="N43" s="2">
        <v>48</v>
      </c>
      <c r="O43" s="2">
        <v>18.9</v>
      </c>
      <c r="P43" s="2">
        <v>98.8</v>
      </c>
      <c r="Q43" s="2">
        <v>14</v>
      </c>
      <c r="R43" s="2">
        <v>7.471</v>
      </c>
      <c r="S43" s="2">
        <v>44.6</v>
      </c>
      <c r="T43" s="2">
        <v>132.6</v>
      </c>
      <c r="U43" s="2">
        <v>3.5</v>
      </c>
      <c r="V43" s="2">
        <v>1.2</v>
      </c>
      <c r="W43" s="2">
        <v>112</v>
      </c>
      <c r="X43" s="2">
        <v>5.2</v>
      </c>
      <c r="Y43" s="2">
        <v>0.74</v>
      </c>
      <c r="Z43" s="2">
        <v>48</v>
      </c>
      <c r="AA43" s="2">
        <v>19</v>
      </c>
      <c r="AB43" s="2">
        <v>84.6</v>
      </c>
      <c r="AC43" s="2">
        <v>14</v>
      </c>
      <c r="AG43" s="2" t="e">
        <f t="shared" si="5"/>
        <v>#DIV/0!</v>
      </c>
      <c r="AH43" s="2">
        <f t="shared" si="6"/>
        <v>-0.08</v>
      </c>
      <c r="AI43" s="2">
        <f t="shared" si="7"/>
        <v>6.754716</v>
      </c>
      <c r="AJ43" s="2">
        <f t="shared" si="8"/>
        <v>5.579732</v>
      </c>
      <c r="AK43" s="3">
        <v>3.59</v>
      </c>
      <c r="AL43" s="3">
        <v>0.47</v>
      </c>
      <c r="AM43" s="3">
        <v>3.08</v>
      </c>
      <c r="AN43" s="3">
        <v>30.6</v>
      </c>
      <c r="AO43" s="3">
        <v>10.6</v>
      </c>
      <c r="AP43" s="3">
        <v>0.93</v>
      </c>
      <c r="AQ43" s="2">
        <v>7</v>
      </c>
      <c r="AR43" s="2">
        <v>96</v>
      </c>
      <c r="AS43" s="2">
        <v>114</v>
      </c>
      <c r="AT43" s="2">
        <v>108</v>
      </c>
      <c r="AU43" s="2">
        <v>247</v>
      </c>
      <c r="AV43" s="2">
        <v>90</v>
      </c>
      <c r="AW43" s="2">
        <v>6</v>
      </c>
      <c r="AX43" s="2">
        <v>26</v>
      </c>
      <c r="AY43" s="2">
        <v>103</v>
      </c>
      <c r="AZ43" s="2">
        <v>2639</v>
      </c>
      <c r="BA43" s="2">
        <v>-1473</v>
      </c>
      <c r="BB43" s="2">
        <v>71</v>
      </c>
      <c r="BC43" s="2">
        <v>28</v>
      </c>
      <c r="BD43" s="2">
        <v>108</v>
      </c>
      <c r="BE43" s="2">
        <v>14</v>
      </c>
      <c r="BF43" s="2">
        <v>43</v>
      </c>
      <c r="BG43" s="2">
        <v>14</v>
      </c>
      <c r="BH43" s="2">
        <v>95</v>
      </c>
      <c r="BI43" s="2">
        <v>11702</v>
      </c>
      <c r="BJ43" s="2">
        <v>87</v>
      </c>
      <c r="BK43" s="2">
        <v>1256</v>
      </c>
      <c r="BL43" s="2">
        <v>1</v>
      </c>
      <c r="BM43" s="2">
        <v>28073</v>
      </c>
      <c r="BN43" s="2">
        <v>17</v>
      </c>
      <c r="BO43" s="2">
        <v>0</v>
      </c>
      <c r="BP43" s="2">
        <v>0</v>
      </c>
      <c r="BQ43" s="2">
        <v>0</v>
      </c>
      <c r="BR43" s="2">
        <v>1770</v>
      </c>
      <c r="BS43" s="2">
        <v>124</v>
      </c>
      <c r="BT43" s="2">
        <f t="shared" si="9"/>
        <v>17312.5400616098</v>
      </c>
    </row>
    <row r="44" spans="1:72">
      <c r="A44" s="11"/>
      <c r="B44" s="11"/>
      <c r="C44" s="12" t="s">
        <v>83</v>
      </c>
      <c r="D44" s="2">
        <v>31.1</v>
      </c>
      <c r="AK44" s="3">
        <v>5.17</v>
      </c>
      <c r="AL44" s="3">
        <v>0.46</v>
      </c>
      <c r="AM44" s="3">
        <v>53.66</v>
      </c>
      <c r="AN44" s="3">
        <v>233.61</v>
      </c>
      <c r="AO44" s="3">
        <v>24.32</v>
      </c>
      <c r="AP44" s="3">
        <v>-1.67</v>
      </c>
      <c r="AQ44" s="2">
        <v>1</v>
      </c>
      <c r="AR44" s="2">
        <v>5</v>
      </c>
      <c r="AS44" s="2">
        <v>59</v>
      </c>
      <c r="AT44" s="2">
        <v>117</v>
      </c>
      <c r="AU44" s="2">
        <v>282</v>
      </c>
      <c r="AV44" s="2">
        <v>47</v>
      </c>
      <c r="AW44" s="2">
        <v>-3</v>
      </c>
      <c r="AX44" s="2">
        <v>37</v>
      </c>
      <c r="AY44" s="2">
        <v>64</v>
      </c>
      <c r="AZ44" s="2">
        <v>1802</v>
      </c>
      <c r="BA44" s="2">
        <v>-1213</v>
      </c>
      <c r="BB44" s="2">
        <v>46</v>
      </c>
      <c r="BC44" s="2">
        <v>11</v>
      </c>
      <c r="BD44" s="2">
        <v>10</v>
      </c>
      <c r="BE44" s="2">
        <v>1</v>
      </c>
      <c r="BF44" s="2">
        <v>8</v>
      </c>
      <c r="BG44" s="2">
        <v>3</v>
      </c>
      <c r="BH44" s="2">
        <v>9</v>
      </c>
      <c r="BI44" s="2">
        <v>1056</v>
      </c>
      <c r="BJ44" s="2">
        <v>86</v>
      </c>
      <c r="BK44" s="2">
        <v>254</v>
      </c>
      <c r="BL44" s="2">
        <v>4</v>
      </c>
      <c r="BM44" s="2">
        <v>2197</v>
      </c>
      <c r="BN44" s="2">
        <v>37</v>
      </c>
      <c r="BO44" s="2">
        <v>0</v>
      </c>
      <c r="BP44" s="2">
        <v>0</v>
      </c>
      <c r="BQ44" s="2">
        <v>0</v>
      </c>
      <c r="BR44" s="2">
        <v>272</v>
      </c>
      <c r="BS44" s="2">
        <v>120</v>
      </c>
      <c r="BT44" s="2" t="e">
        <f>BI44/(0.0734*(POWER(#REF!,0.656)))</f>
        <v>#REF!</v>
      </c>
    </row>
    <row r="45" spans="1:72">
      <c r="A45" s="6">
        <v>8</v>
      </c>
      <c r="B45" s="6" t="s">
        <v>91</v>
      </c>
      <c r="C45" s="7" t="s">
        <v>78</v>
      </c>
      <c r="D45" s="2">
        <v>32.7</v>
      </c>
      <c r="E45" s="2">
        <v>207</v>
      </c>
      <c r="F45" s="2">
        <v>7.362</v>
      </c>
      <c r="G45" s="2">
        <v>249.7</v>
      </c>
      <c r="H45" s="2">
        <v>135.3</v>
      </c>
      <c r="I45" s="2">
        <v>4.36</v>
      </c>
      <c r="J45" s="2">
        <v>0.78</v>
      </c>
      <c r="K45" s="2">
        <v>109</v>
      </c>
      <c r="L45" s="2">
        <v>10.2</v>
      </c>
      <c r="M45" s="2">
        <v>3.9</v>
      </c>
      <c r="N45" s="2">
        <v>43</v>
      </c>
      <c r="O45" s="2">
        <v>21.6</v>
      </c>
      <c r="P45" s="2">
        <v>99.5</v>
      </c>
      <c r="Q45" s="2">
        <v>13</v>
      </c>
      <c r="R45" s="2">
        <v>7.338</v>
      </c>
      <c r="S45" s="2">
        <v>50.2</v>
      </c>
      <c r="T45" s="2">
        <v>135.3</v>
      </c>
      <c r="U45" s="2">
        <v>4.31</v>
      </c>
      <c r="V45" s="2">
        <v>0.78</v>
      </c>
      <c r="W45" s="2">
        <v>109</v>
      </c>
      <c r="X45" s="2">
        <v>10.2</v>
      </c>
      <c r="Y45" s="2">
        <v>3.84</v>
      </c>
      <c r="Z45" s="2">
        <v>44</v>
      </c>
      <c r="AA45" s="2">
        <v>22.4</v>
      </c>
      <c r="AB45" s="2">
        <v>83.2</v>
      </c>
      <c r="AC45" s="2">
        <v>13</v>
      </c>
      <c r="BT45" s="2">
        <f t="shared" si="9"/>
        <v>0</v>
      </c>
    </row>
    <row r="46" spans="1:72">
      <c r="A46" s="9"/>
      <c r="B46" s="9"/>
      <c r="C46" s="7" t="s">
        <v>79</v>
      </c>
      <c r="D46" s="2">
        <v>32.7</v>
      </c>
      <c r="E46" s="2">
        <v>207</v>
      </c>
      <c r="F46" s="2">
        <v>7.409</v>
      </c>
      <c r="G46" s="2">
        <v>259.4</v>
      </c>
      <c r="H46" s="2">
        <v>135</v>
      </c>
      <c r="I46" s="2">
        <v>4.06</v>
      </c>
      <c r="J46" s="2">
        <v>1.23</v>
      </c>
      <c r="K46" s="2">
        <v>110</v>
      </c>
      <c r="L46" s="2">
        <v>10.7</v>
      </c>
      <c r="M46" s="2">
        <v>4.38</v>
      </c>
      <c r="N46" s="2">
        <v>45</v>
      </c>
      <c r="O46" s="2">
        <v>21.1</v>
      </c>
      <c r="P46" s="2">
        <v>99.6</v>
      </c>
      <c r="Q46" s="2">
        <v>13</v>
      </c>
      <c r="R46" s="2">
        <v>7.381</v>
      </c>
      <c r="S46" s="2">
        <v>45.3</v>
      </c>
      <c r="T46" s="2">
        <v>134.8</v>
      </c>
      <c r="U46" s="2">
        <v>4</v>
      </c>
      <c r="V46" s="2">
        <v>1.27</v>
      </c>
      <c r="W46" s="2">
        <v>110</v>
      </c>
      <c r="X46" s="2">
        <v>10.5</v>
      </c>
      <c r="Y46" s="2">
        <v>3.89</v>
      </c>
      <c r="Z46" s="2">
        <v>45</v>
      </c>
      <c r="AA46" s="2">
        <v>20</v>
      </c>
      <c r="AB46" s="2">
        <v>81</v>
      </c>
      <c r="AC46" s="2">
        <v>13</v>
      </c>
      <c r="BT46" s="2">
        <f t="shared" si="9"/>
        <v>0</v>
      </c>
    </row>
    <row r="47" spans="1:72">
      <c r="A47" s="9"/>
      <c r="B47" s="9"/>
      <c r="C47" s="7" t="s">
        <v>80</v>
      </c>
      <c r="D47" s="2">
        <v>32.7</v>
      </c>
      <c r="E47" s="2">
        <v>207</v>
      </c>
      <c r="F47" s="2">
        <v>7.459</v>
      </c>
      <c r="G47" s="2">
        <v>260.2</v>
      </c>
      <c r="H47" s="2">
        <v>134.2</v>
      </c>
      <c r="I47" s="2">
        <v>3.93</v>
      </c>
      <c r="J47" s="2">
        <v>1.21</v>
      </c>
      <c r="K47" s="2">
        <v>110</v>
      </c>
      <c r="L47" s="2">
        <v>12.6</v>
      </c>
      <c r="M47" s="2">
        <v>4.64</v>
      </c>
      <c r="N47" s="2">
        <v>45</v>
      </c>
      <c r="O47" s="2">
        <v>20.9</v>
      </c>
      <c r="P47" s="2">
        <v>99.7</v>
      </c>
      <c r="Q47" s="2">
        <v>13</v>
      </c>
      <c r="R47" s="2">
        <v>7.424</v>
      </c>
      <c r="S47" s="2">
        <v>55.9</v>
      </c>
      <c r="T47" s="2">
        <v>134</v>
      </c>
      <c r="U47" s="2">
        <v>3.93</v>
      </c>
      <c r="V47" s="2">
        <v>1.22</v>
      </c>
      <c r="W47" s="2">
        <v>110</v>
      </c>
      <c r="X47" s="2">
        <v>12.6</v>
      </c>
      <c r="Y47" s="2">
        <v>4.56</v>
      </c>
      <c r="Z47" s="2">
        <v>46</v>
      </c>
      <c r="AA47" s="2">
        <v>21.4</v>
      </c>
      <c r="AB47" s="2">
        <v>90.1</v>
      </c>
      <c r="AC47" s="2">
        <v>14</v>
      </c>
      <c r="BT47" s="2">
        <f t="shared" si="9"/>
        <v>0</v>
      </c>
    </row>
    <row r="48" spans="1:72">
      <c r="A48" s="9"/>
      <c r="B48" s="9"/>
      <c r="C48" s="7" t="s">
        <v>81</v>
      </c>
      <c r="D48" s="2">
        <v>32.7</v>
      </c>
      <c r="E48" s="2">
        <v>207</v>
      </c>
      <c r="BT48" s="2">
        <f t="shared" si="9"/>
        <v>0</v>
      </c>
    </row>
    <row r="49" spans="1:72">
      <c r="A49" s="9"/>
      <c r="B49" s="9"/>
      <c r="C49" s="10" t="s">
        <v>82</v>
      </c>
      <c r="D49" s="2">
        <v>32.7</v>
      </c>
      <c r="E49" s="2">
        <v>207</v>
      </c>
      <c r="F49" s="2">
        <v>7.358</v>
      </c>
      <c r="G49" s="2">
        <v>238.8</v>
      </c>
      <c r="H49" s="2">
        <v>133.8</v>
      </c>
      <c r="I49" s="2">
        <v>4.09</v>
      </c>
      <c r="J49" s="2">
        <v>1.22</v>
      </c>
      <c r="K49" s="2">
        <v>108</v>
      </c>
      <c r="L49" s="2">
        <v>14.6</v>
      </c>
      <c r="M49" s="2">
        <v>3.84</v>
      </c>
      <c r="N49" s="2">
        <v>45</v>
      </c>
      <c r="O49" s="2">
        <v>21.3</v>
      </c>
      <c r="P49" s="2">
        <v>99.5</v>
      </c>
      <c r="Q49" s="2">
        <v>13</v>
      </c>
      <c r="R49" s="2">
        <v>7.428</v>
      </c>
      <c r="S49" s="2">
        <v>50.3</v>
      </c>
      <c r="T49" s="2">
        <v>133.6</v>
      </c>
      <c r="U49" s="2">
        <v>4.65</v>
      </c>
      <c r="V49" s="2">
        <v>1.16</v>
      </c>
      <c r="W49" s="2">
        <v>108</v>
      </c>
      <c r="X49" s="2">
        <v>16.1</v>
      </c>
      <c r="Y49" s="2">
        <v>3.04</v>
      </c>
      <c r="Z49" s="2">
        <v>44</v>
      </c>
      <c r="AA49" s="2">
        <v>20.9</v>
      </c>
      <c r="AB49" s="2">
        <v>87.1</v>
      </c>
      <c r="AC49" s="2">
        <v>13</v>
      </c>
      <c r="AK49" s="3">
        <v>26.87</v>
      </c>
      <c r="AL49" s="3">
        <v>-1.59</v>
      </c>
      <c r="AM49" s="3">
        <v>35.79</v>
      </c>
      <c r="AN49" s="3">
        <v>-342.24</v>
      </c>
      <c r="AO49" s="3">
        <v>59.4</v>
      </c>
      <c r="AP49" s="3">
        <v>205.48</v>
      </c>
      <c r="AQ49" s="2">
        <v>6</v>
      </c>
      <c r="AR49" s="2">
        <v>101</v>
      </c>
      <c r="AS49" s="2">
        <v>122</v>
      </c>
      <c r="AT49" s="2">
        <v>149</v>
      </c>
      <c r="AU49" s="2">
        <v>286</v>
      </c>
      <c r="AV49" s="2">
        <v>105</v>
      </c>
      <c r="AW49" s="2">
        <v>5</v>
      </c>
      <c r="AX49" s="2">
        <v>42</v>
      </c>
      <c r="AY49" s="2">
        <v>87</v>
      </c>
      <c r="AZ49" s="2">
        <v>1934</v>
      </c>
      <c r="BA49" s="2">
        <v>-1724</v>
      </c>
      <c r="BB49" s="2">
        <v>47</v>
      </c>
      <c r="BC49" s="2">
        <v>32</v>
      </c>
      <c r="BD49" s="2">
        <v>234</v>
      </c>
      <c r="BE49" s="2">
        <v>213</v>
      </c>
      <c r="BF49" s="2">
        <v>214</v>
      </c>
      <c r="BG49" s="2">
        <v>221</v>
      </c>
      <c r="BH49" s="2">
        <v>22</v>
      </c>
      <c r="BI49" s="2">
        <v>2309</v>
      </c>
      <c r="BJ49" s="2">
        <v>9</v>
      </c>
      <c r="BK49" s="2">
        <v>1352</v>
      </c>
      <c r="BL49" s="2">
        <v>5</v>
      </c>
      <c r="BM49" s="2">
        <v>20001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107</v>
      </c>
      <c r="BT49" s="2">
        <f t="shared" si="9"/>
        <v>3192.89434185591</v>
      </c>
    </row>
    <row r="50" spans="1:73">
      <c r="A50" s="11"/>
      <c r="B50" s="11"/>
      <c r="C50" s="12" t="s">
        <v>83</v>
      </c>
      <c r="D50" s="2">
        <v>27.7</v>
      </c>
      <c r="AK50" s="19">
        <v>1.4</v>
      </c>
      <c r="AL50" s="19">
        <v>1.35</v>
      </c>
      <c r="AM50" s="19">
        <v>248.29</v>
      </c>
      <c r="AN50" s="19">
        <v>47.24</v>
      </c>
      <c r="AO50" s="19">
        <v>2.59</v>
      </c>
      <c r="AP50" s="19">
        <v>-8.25</v>
      </c>
      <c r="AQ50" s="2">
        <v>10</v>
      </c>
      <c r="AR50" s="2">
        <v>47</v>
      </c>
      <c r="AS50" s="2">
        <v>50</v>
      </c>
      <c r="AT50" s="2">
        <v>80</v>
      </c>
      <c r="AU50" s="2">
        <v>271</v>
      </c>
      <c r="AV50" s="2">
        <v>50</v>
      </c>
      <c r="AW50" s="2">
        <v>6</v>
      </c>
      <c r="AX50" s="2">
        <v>53</v>
      </c>
      <c r="AY50" s="2">
        <v>106</v>
      </c>
      <c r="AZ50" s="2">
        <v>890</v>
      </c>
      <c r="BA50" s="2">
        <v>-666</v>
      </c>
      <c r="BB50" s="2">
        <v>33</v>
      </c>
      <c r="BC50" s="2">
        <v>37</v>
      </c>
      <c r="BD50" s="2">
        <v>107</v>
      </c>
      <c r="BE50" s="2">
        <v>25</v>
      </c>
      <c r="BF50" s="2">
        <v>106</v>
      </c>
      <c r="BG50" s="2">
        <v>29</v>
      </c>
      <c r="BH50" s="2">
        <v>83</v>
      </c>
      <c r="BI50" s="2">
        <v>9744</v>
      </c>
      <c r="BJ50" s="2">
        <v>77</v>
      </c>
      <c r="BK50" s="2">
        <v>3664</v>
      </c>
      <c r="BL50" s="2">
        <v>1</v>
      </c>
      <c r="BM50" s="2">
        <v>22610</v>
      </c>
      <c r="BN50" s="2">
        <v>2</v>
      </c>
      <c r="BO50" s="2">
        <v>0</v>
      </c>
      <c r="BP50" s="2">
        <v>0</v>
      </c>
      <c r="BQ50" s="2">
        <v>0</v>
      </c>
      <c r="BR50" s="2">
        <v>4066</v>
      </c>
      <c r="BS50" s="2">
        <v>118</v>
      </c>
      <c r="BT50" s="2">
        <f t="shared" si="9"/>
        <v>15023.6164242755</v>
      </c>
      <c r="BU50" s="2" t="s">
        <v>92</v>
      </c>
    </row>
    <row r="51" spans="1:72">
      <c r="A51" s="6">
        <v>9</v>
      </c>
      <c r="B51" s="6" t="s">
        <v>93</v>
      </c>
      <c r="C51" s="7" t="s">
        <v>78</v>
      </c>
      <c r="BT51" s="2" t="e">
        <f t="shared" si="9"/>
        <v>#DIV/0!</v>
      </c>
    </row>
    <row r="52" spans="1:72">
      <c r="A52" s="9"/>
      <c r="B52" s="9"/>
      <c r="C52" s="7" t="s">
        <v>79</v>
      </c>
      <c r="BT52" s="2" t="e">
        <f t="shared" si="9"/>
        <v>#DIV/0!</v>
      </c>
    </row>
    <row r="53" spans="1:72">
      <c r="A53" s="9"/>
      <c r="B53" s="9"/>
      <c r="C53" s="7" t="s">
        <v>80</v>
      </c>
      <c r="BT53" s="2" t="e">
        <f t="shared" si="9"/>
        <v>#DIV/0!</v>
      </c>
    </row>
    <row r="54" spans="1:72">
      <c r="A54" s="9"/>
      <c r="B54" s="9"/>
      <c r="C54" s="7" t="s">
        <v>81</v>
      </c>
      <c r="BT54" s="2" t="e">
        <f t="shared" si="9"/>
        <v>#DIV/0!</v>
      </c>
    </row>
    <row r="55" spans="1:72">
      <c r="A55" s="9"/>
      <c r="B55" s="9"/>
      <c r="C55" s="10" t="s">
        <v>82</v>
      </c>
      <c r="AK55" s="3">
        <v>0.93</v>
      </c>
      <c r="AL55" s="3">
        <v>0.35</v>
      </c>
      <c r="AM55" s="3">
        <v>28.97</v>
      </c>
      <c r="AN55" s="3">
        <v>53.13</v>
      </c>
      <c r="AO55" s="3">
        <v>5.72</v>
      </c>
      <c r="AP55" s="3">
        <v>19.97</v>
      </c>
      <c r="AQ55" s="2">
        <v>8</v>
      </c>
      <c r="AR55" s="2">
        <v>91</v>
      </c>
      <c r="AS55" s="2">
        <v>126</v>
      </c>
      <c r="AT55" s="2">
        <v>247</v>
      </c>
      <c r="AU55" s="2">
        <v>264</v>
      </c>
      <c r="AV55" s="2">
        <v>112</v>
      </c>
      <c r="AW55" s="2">
        <v>6</v>
      </c>
      <c r="AX55" s="2">
        <v>54</v>
      </c>
      <c r="AY55" s="2">
        <v>142</v>
      </c>
      <c r="AZ55" s="2">
        <v>2164</v>
      </c>
      <c r="BA55" s="2">
        <v>-1281</v>
      </c>
      <c r="BB55" s="2">
        <v>35</v>
      </c>
      <c r="BC55" s="2">
        <v>40</v>
      </c>
      <c r="BD55" s="2">
        <v>65</v>
      </c>
      <c r="BE55" s="2">
        <v>53</v>
      </c>
      <c r="BF55" s="2">
        <v>65</v>
      </c>
      <c r="BG55" s="2">
        <v>53</v>
      </c>
      <c r="BH55" s="2">
        <v>12</v>
      </c>
      <c r="BI55" s="2">
        <v>1055</v>
      </c>
      <c r="BJ55" s="2">
        <v>19</v>
      </c>
      <c r="BK55" s="2">
        <v>982</v>
      </c>
      <c r="BL55" s="2">
        <v>7</v>
      </c>
      <c r="BM55" s="2">
        <v>2374</v>
      </c>
      <c r="BN55" s="2">
        <v>1</v>
      </c>
      <c r="BO55" s="2">
        <v>0</v>
      </c>
      <c r="BP55" s="2">
        <v>0</v>
      </c>
      <c r="BQ55" s="2">
        <v>0</v>
      </c>
      <c r="BR55" s="2">
        <v>1096</v>
      </c>
      <c r="BS55" s="2">
        <v>85</v>
      </c>
      <c r="BT55" s="2" t="e">
        <f t="shared" si="9"/>
        <v>#DIV/0!</v>
      </c>
    </row>
    <row r="56" spans="1:72">
      <c r="A56" s="11"/>
      <c r="B56" s="11"/>
      <c r="C56" s="12" t="s">
        <v>83</v>
      </c>
      <c r="AK56" s="3">
        <v>7.04</v>
      </c>
      <c r="AL56" s="3">
        <v>0.16</v>
      </c>
      <c r="AM56" s="3">
        <v>31.41</v>
      </c>
      <c r="AN56" s="3">
        <v>64</v>
      </c>
      <c r="AO56" s="3">
        <v>13.52</v>
      </c>
      <c r="AP56" s="3">
        <v>44.97</v>
      </c>
      <c r="AQ56" s="2">
        <v>12</v>
      </c>
      <c r="AR56" s="2">
        <v>85</v>
      </c>
      <c r="AS56" s="2">
        <v>94</v>
      </c>
      <c r="AT56" s="2">
        <v>159</v>
      </c>
      <c r="AU56" s="2">
        <v>305</v>
      </c>
      <c r="AV56" s="2">
        <v>93</v>
      </c>
      <c r="AW56" s="2">
        <v>5</v>
      </c>
      <c r="AX56" s="2">
        <v>42</v>
      </c>
      <c r="AY56" s="2">
        <v>129</v>
      </c>
      <c r="AZ56" s="2">
        <v>2431</v>
      </c>
      <c r="BA56" s="2">
        <v>-1175</v>
      </c>
      <c r="BB56" s="2">
        <v>45</v>
      </c>
      <c r="BC56" s="2">
        <v>34</v>
      </c>
      <c r="BD56" s="2">
        <v>80</v>
      </c>
      <c r="BE56" s="2">
        <v>58</v>
      </c>
      <c r="BF56" s="2">
        <v>80</v>
      </c>
      <c r="BG56" s="2">
        <v>58</v>
      </c>
      <c r="BH56" s="2">
        <v>22</v>
      </c>
      <c r="BI56" s="2">
        <v>2057</v>
      </c>
      <c r="BJ56" s="2">
        <v>27</v>
      </c>
      <c r="BK56" s="2">
        <v>1332</v>
      </c>
      <c r="BL56" s="2">
        <v>4</v>
      </c>
      <c r="BM56" s="2">
        <v>3218</v>
      </c>
      <c r="BN56" s="2">
        <v>1</v>
      </c>
      <c r="BO56" s="2">
        <v>0</v>
      </c>
      <c r="BP56" s="2">
        <v>0</v>
      </c>
      <c r="BQ56" s="2">
        <v>0</v>
      </c>
      <c r="BR56" s="2">
        <v>1595</v>
      </c>
      <c r="BS56" s="2">
        <v>94</v>
      </c>
      <c r="BT56" s="2" t="e">
        <f t="shared" si="9"/>
        <v>#DIV/0!</v>
      </c>
    </row>
    <row r="57" spans="1:72">
      <c r="A57" s="6">
        <v>10</v>
      </c>
      <c r="B57" s="6" t="s">
        <v>94</v>
      </c>
      <c r="C57" s="7" t="s">
        <v>78</v>
      </c>
      <c r="R57" s="2">
        <v>7.141</v>
      </c>
      <c r="S57" s="2">
        <v>64.3</v>
      </c>
      <c r="T57" s="2">
        <v>134.8</v>
      </c>
      <c r="U57" s="2">
        <v>3.52</v>
      </c>
      <c r="V57" s="2">
        <v>0.78</v>
      </c>
      <c r="W57" s="2">
        <v>107</v>
      </c>
      <c r="X57" s="2">
        <v>9.4</v>
      </c>
      <c r="Y57" s="2">
        <v>3.24</v>
      </c>
      <c r="Z57" s="2">
        <v>48</v>
      </c>
      <c r="AA57" s="2">
        <v>26.5</v>
      </c>
      <c r="AB57" s="2">
        <v>84.3</v>
      </c>
      <c r="AC57" s="2">
        <v>14</v>
      </c>
      <c r="BT57" s="2" t="e">
        <f t="shared" si="9"/>
        <v>#DIV/0!</v>
      </c>
    </row>
    <row r="58" spans="1:72">
      <c r="A58" s="9"/>
      <c r="B58" s="9"/>
      <c r="C58" s="7" t="s">
        <v>79</v>
      </c>
      <c r="F58" s="2">
        <v>7.41</v>
      </c>
      <c r="G58" s="2">
        <v>262.9</v>
      </c>
      <c r="H58" s="2">
        <v>134.4</v>
      </c>
      <c r="I58" s="2">
        <v>3.37</v>
      </c>
      <c r="J58" s="2">
        <v>1.31</v>
      </c>
      <c r="K58" s="2">
        <v>109</v>
      </c>
      <c r="L58" s="2">
        <v>9.8</v>
      </c>
      <c r="M58" s="2">
        <v>3.68</v>
      </c>
      <c r="N58" s="2">
        <v>49</v>
      </c>
      <c r="O58" s="2">
        <v>21.9</v>
      </c>
      <c r="P58" s="2">
        <v>99.6</v>
      </c>
      <c r="Q58" s="2">
        <v>14</v>
      </c>
      <c r="R58" s="2">
        <v>7.381</v>
      </c>
      <c r="S58" s="2">
        <v>45.5</v>
      </c>
      <c r="T58" s="2">
        <v>134.1</v>
      </c>
      <c r="U58" s="2">
        <v>3.37</v>
      </c>
      <c r="V58" s="2">
        <v>1.32</v>
      </c>
      <c r="W58" s="2">
        <v>109</v>
      </c>
      <c r="X58" s="2">
        <v>9.6</v>
      </c>
      <c r="Y58" s="2">
        <v>3.24</v>
      </c>
      <c r="Z58" s="2">
        <v>49</v>
      </c>
      <c r="AA58" s="2">
        <v>21.7</v>
      </c>
      <c r="AB58" s="2">
        <v>81</v>
      </c>
      <c r="AC58" s="2">
        <v>14</v>
      </c>
      <c r="BT58" s="2" t="e">
        <f t="shared" si="9"/>
        <v>#DIV/0!</v>
      </c>
    </row>
    <row r="59" spans="1:72">
      <c r="A59" s="9"/>
      <c r="B59" s="9"/>
      <c r="C59" s="7" t="s">
        <v>80</v>
      </c>
      <c r="F59" s="2">
        <v>7.37</v>
      </c>
      <c r="G59" s="2">
        <v>218.8</v>
      </c>
      <c r="H59" s="2">
        <v>134.2</v>
      </c>
      <c r="I59" s="2">
        <v>3.38</v>
      </c>
      <c r="J59" s="2">
        <v>1.31</v>
      </c>
      <c r="K59" s="2">
        <v>109</v>
      </c>
      <c r="L59" s="2">
        <v>11.2</v>
      </c>
      <c r="M59" s="2">
        <v>2.51</v>
      </c>
      <c r="N59" s="2">
        <v>49</v>
      </c>
      <c r="O59" s="2">
        <v>23.5</v>
      </c>
      <c r="P59" s="2">
        <v>99.4</v>
      </c>
      <c r="Q59" s="2">
        <v>14</v>
      </c>
      <c r="R59" s="2">
        <v>7.34</v>
      </c>
      <c r="S59" s="2">
        <v>50.9</v>
      </c>
      <c r="T59" s="2">
        <v>134.1</v>
      </c>
      <c r="U59" s="2">
        <v>3.39</v>
      </c>
      <c r="V59" s="2">
        <v>1.31</v>
      </c>
      <c r="W59" s="2">
        <v>109</v>
      </c>
      <c r="X59" s="2">
        <v>11.2</v>
      </c>
      <c r="Y59" s="2">
        <v>2.31</v>
      </c>
      <c r="Z59" s="2">
        <v>50</v>
      </c>
      <c r="AA59" s="2">
        <v>23.3</v>
      </c>
      <c r="AB59" s="2">
        <v>83.8</v>
      </c>
      <c r="AC59" s="2">
        <v>15</v>
      </c>
      <c r="BT59" s="2" t="e">
        <f t="shared" si="9"/>
        <v>#DIV/0!</v>
      </c>
    </row>
    <row r="60" spans="1:72">
      <c r="A60" s="9"/>
      <c r="B60" s="9"/>
      <c r="C60" s="7" t="s">
        <v>81</v>
      </c>
      <c r="F60" s="2">
        <v>7.461</v>
      </c>
      <c r="G60" s="2">
        <v>257.1</v>
      </c>
      <c r="H60" s="2">
        <v>134.7</v>
      </c>
      <c r="I60" s="2">
        <v>3.61</v>
      </c>
      <c r="J60" s="2">
        <v>1.27</v>
      </c>
      <c r="K60" s="2">
        <v>109</v>
      </c>
      <c r="L60" s="2">
        <v>11.9</v>
      </c>
      <c r="M60" s="2">
        <v>1.19</v>
      </c>
      <c r="N60" s="2">
        <v>49</v>
      </c>
      <c r="O60" s="2">
        <v>24</v>
      </c>
      <c r="P60" s="2">
        <v>99.6</v>
      </c>
      <c r="Q60" s="2">
        <v>14</v>
      </c>
      <c r="R60" s="2">
        <v>7.436</v>
      </c>
      <c r="S60" s="2">
        <v>58.2</v>
      </c>
      <c r="T60" s="2">
        <v>134.3</v>
      </c>
      <c r="U60" s="2">
        <v>3.61</v>
      </c>
      <c r="V60" s="2">
        <v>1.27</v>
      </c>
      <c r="W60" s="2">
        <v>110</v>
      </c>
      <c r="X60" s="2">
        <v>11.9</v>
      </c>
      <c r="Y60" s="2">
        <v>1.23</v>
      </c>
      <c r="Z60" s="2">
        <v>49</v>
      </c>
      <c r="AA60" s="2">
        <v>23.8</v>
      </c>
      <c r="AB60" s="2">
        <v>91.3</v>
      </c>
      <c r="AC60" s="2">
        <v>14</v>
      </c>
      <c r="BT60" s="2" t="e">
        <f t="shared" si="9"/>
        <v>#DIV/0!</v>
      </c>
    </row>
    <row r="61" s="1" customFormat="1" spans="1:72">
      <c r="A61" s="9"/>
      <c r="B61" s="9"/>
      <c r="C61" s="13" t="s">
        <v>82</v>
      </c>
      <c r="G61" s="1">
        <v>244.5</v>
      </c>
      <c r="H61" s="1">
        <v>132.4</v>
      </c>
      <c r="I61" s="1">
        <v>4.32</v>
      </c>
      <c r="J61" s="1">
        <v>1.19</v>
      </c>
      <c r="K61" s="1">
        <v>111</v>
      </c>
      <c r="L61" s="1">
        <v>11.8</v>
      </c>
      <c r="M61" s="1">
        <v>0.75</v>
      </c>
      <c r="N61" s="1">
        <v>48</v>
      </c>
      <c r="Q61" s="1">
        <v>14</v>
      </c>
      <c r="S61" s="1">
        <v>121.4</v>
      </c>
      <c r="T61" s="1">
        <v>132.9</v>
      </c>
      <c r="U61" s="1">
        <v>4.33</v>
      </c>
      <c r="V61" s="1">
        <v>1.19</v>
      </c>
      <c r="W61" s="1">
        <v>110</v>
      </c>
      <c r="X61" s="1">
        <v>12.1</v>
      </c>
      <c r="Y61" s="1">
        <v>0.72</v>
      </c>
      <c r="Z61" s="1">
        <v>48</v>
      </c>
      <c r="AC61" s="1">
        <v>14</v>
      </c>
      <c r="AK61" s="3">
        <v>7.08</v>
      </c>
      <c r="AL61" s="3">
        <v>0.53</v>
      </c>
      <c r="AM61" s="3">
        <v>36.62</v>
      </c>
      <c r="AN61" s="3">
        <v>54.55</v>
      </c>
      <c r="AO61" s="3">
        <v>14.48</v>
      </c>
      <c r="AP61" s="3">
        <v>60.43</v>
      </c>
      <c r="AQ61" s="1">
        <v>14</v>
      </c>
      <c r="AR61" s="1">
        <v>89</v>
      </c>
      <c r="AS61" s="1">
        <v>115</v>
      </c>
      <c r="AT61" s="1">
        <v>182</v>
      </c>
      <c r="AU61" s="1">
        <v>241</v>
      </c>
      <c r="AV61" s="1">
        <v>104</v>
      </c>
      <c r="AW61" s="1">
        <v>11</v>
      </c>
      <c r="AX61" s="1">
        <v>30</v>
      </c>
      <c r="AY61" s="1">
        <v>120</v>
      </c>
      <c r="AZ61" s="1">
        <v>1797</v>
      </c>
      <c r="BA61" s="1">
        <v>-1089</v>
      </c>
      <c r="BB61" s="1">
        <v>54</v>
      </c>
      <c r="BC61" s="1">
        <v>48</v>
      </c>
      <c r="BD61" s="1">
        <v>86</v>
      </c>
      <c r="BE61" s="1">
        <v>77</v>
      </c>
      <c r="BF61" s="1">
        <v>86</v>
      </c>
      <c r="BG61" s="1">
        <v>78</v>
      </c>
      <c r="BH61" s="1">
        <v>9</v>
      </c>
      <c r="BI61" s="1">
        <v>910</v>
      </c>
      <c r="BJ61" s="1">
        <v>10</v>
      </c>
      <c r="BK61" s="1">
        <v>485</v>
      </c>
      <c r="BL61" s="1">
        <v>10</v>
      </c>
      <c r="BM61" s="1">
        <v>7739</v>
      </c>
      <c r="BN61" s="1">
        <v>1</v>
      </c>
      <c r="BO61" s="1">
        <v>0</v>
      </c>
      <c r="BP61" s="1">
        <v>0</v>
      </c>
      <c r="BQ61" s="1">
        <v>0</v>
      </c>
      <c r="BR61" s="1">
        <v>868</v>
      </c>
      <c r="BS61" s="1">
        <v>105</v>
      </c>
      <c r="BT61" s="1" t="e">
        <f t="shared" si="9"/>
        <v>#DIV/0!</v>
      </c>
    </row>
    <row r="62" spans="1:72">
      <c r="A62" s="11"/>
      <c r="B62" s="11"/>
      <c r="C62" s="12" t="s">
        <v>83</v>
      </c>
      <c r="AK62" s="3">
        <v>2.63</v>
      </c>
      <c r="AL62" s="3">
        <v>0.41</v>
      </c>
      <c r="AM62" s="3">
        <v>26.43</v>
      </c>
      <c r="AN62" s="3">
        <v>25.68</v>
      </c>
      <c r="AO62" s="3">
        <v>4.56</v>
      </c>
      <c r="AP62" s="3">
        <v>57.18</v>
      </c>
      <c r="AQ62" s="2">
        <v>9</v>
      </c>
      <c r="AR62" s="2">
        <v>61</v>
      </c>
      <c r="AS62" s="2">
        <v>63</v>
      </c>
      <c r="AT62" s="2">
        <v>56</v>
      </c>
      <c r="AU62" s="2">
        <v>132</v>
      </c>
      <c r="AV62" s="2">
        <v>64</v>
      </c>
      <c r="AW62" s="2">
        <v>7</v>
      </c>
      <c r="AX62" s="2">
        <v>46</v>
      </c>
      <c r="AY62" s="2">
        <v>75</v>
      </c>
      <c r="AZ62" s="2">
        <v>1967</v>
      </c>
      <c r="BA62" s="2">
        <v>-1804</v>
      </c>
      <c r="BB62" s="2">
        <v>51</v>
      </c>
      <c r="BC62" s="2">
        <v>31</v>
      </c>
      <c r="BD62" s="2">
        <v>83</v>
      </c>
      <c r="BE62" s="2">
        <v>75</v>
      </c>
      <c r="BF62" s="2">
        <v>83</v>
      </c>
      <c r="BG62" s="2">
        <v>77</v>
      </c>
      <c r="BH62" s="2">
        <v>8</v>
      </c>
      <c r="BI62" s="2">
        <v>1593</v>
      </c>
      <c r="BJ62" s="2">
        <v>10</v>
      </c>
      <c r="BK62" s="2">
        <v>423</v>
      </c>
      <c r="BL62" s="2">
        <v>8</v>
      </c>
      <c r="BM62" s="2">
        <v>2546</v>
      </c>
      <c r="BN62" s="2">
        <v>0</v>
      </c>
      <c r="BO62" s="2">
        <v>0</v>
      </c>
      <c r="BP62" s="2">
        <v>0</v>
      </c>
      <c r="BQ62" s="2">
        <v>0</v>
      </c>
      <c r="BR62" s="2">
        <v>500</v>
      </c>
      <c r="BS62" s="2">
        <v>193</v>
      </c>
      <c r="BT62" s="2" t="e">
        <f t="shared" si="9"/>
        <v>#DIV/0!</v>
      </c>
    </row>
    <row r="63" spans="1:72">
      <c r="A63" s="6">
        <v>11</v>
      </c>
      <c r="B63" s="6" t="s">
        <v>95</v>
      </c>
      <c r="C63" s="7" t="s">
        <v>78</v>
      </c>
      <c r="F63" s="2">
        <v>7.391</v>
      </c>
      <c r="G63" s="2">
        <v>309.2</v>
      </c>
      <c r="H63" s="2">
        <v>129.1</v>
      </c>
      <c r="I63" s="2">
        <v>3.19</v>
      </c>
      <c r="J63" s="2">
        <v>0.74</v>
      </c>
      <c r="K63" s="2">
        <v>102</v>
      </c>
      <c r="L63" s="2">
        <v>6.9</v>
      </c>
      <c r="M63" s="2">
        <v>1.24</v>
      </c>
      <c r="N63" s="2">
        <v>53</v>
      </c>
      <c r="O63" s="2">
        <v>21</v>
      </c>
      <c r="P63" s="2">
        <v>99.7</v>
      </c>
      <c r="Q63" s="2">
        <v>16</v>
      </c>
      <c r="R63" s="2">
        <v>7.37</v>
      </c>
      <c r="S63" s="2">
        <v>51</v>
      </c>
      <c r="T63" s="2">
        <v>130</v>
      </c>
      <c r="U63" s="2">
        <v>3.14</v>
      </c>
      <c r="V63" s="2">
        <v>0.76</v>
      </c>
      <c r="W63" s="2">
        <v>102</v>
      </c>
      <c r="X63" s="2">
        <v>6.6</v>
      </c>
      <c r="Y63" s="2">
        <v>1.17</v>
      </c>
      <c r="Z63" s="2">
        <v>54</v>
      </c>
      <c r="AA63" s="2">
        <v>21.3</v>
      </c>
      <c r="AB63" s="2">
        <v>85.4</v>
      </c>
      <c r="AC63" s="2">
        <v>16</v>
      </c>
      <c r="BT63" s="2" t="e">
        <f t="shared" si="9"/>
        <v>#DIV/0!</v>
      </c>
    </row>
    <row r="64" spans="1:72">
      <c r="A64" s="9"/>
      <c r="B64" s="9"/>
      <c r="C64" s="7" t="s">
        <v>79</v>
      </c>
      <c r="F64" s="2">
        <v>7.223</v>
      </c>
      <c r="G64" s="2">
        <v>242.7</v>
      </c>
      <c r="H64" s="2">
        <v>128.1</v>
      </c>
      <c r="I64" s="2">
        <v>2.46</v>
      </c>
      <c r="J64" s="2">
        <v>1.56</v>
      </c>
      <c r="K64" s="2">
        <v>103</v>
      </c>
      <c r="L64" s="2">
        <v>7.9</v>
      </c>
      <c r="M64" s="2">
        <v>1.46</v>
      </c>
      <c r="N64" s="2">
        <v>54</v>
      </c>
      <c r="O64" s="2">
        <v>22.5</v>
      </c>
      <c r="P64" s="2">
        <v>99.4</v>
      </c>
      <c r="Q64" s="2">
        <v>16</v>
      </c>
      <c r="R64" s="2">
        <v>7.201</v>
      </c>
      <c r="S64" s="2">
        <v>52.6</v>
      </c>
      <c r="T64" s="2">
        <v>128.7</v>
      </c>
      <c r="U64" s="2">
        <v>2.41</v>
      </c>
      <c r="V64" s="2">
        <v>1.56</v>
      </c>
      <c r="W64" s="2">
        <v>103</v>
      </c>
      <c r="X64" s="2">
        <v>8.1</v>
      </c>
      <c r="Y64" s="2">
        <v>1.48</v>
      </c>
      <c r="Z64" s="2">
        <v>56</v>
      </c>
      <c r="AA64" s="2">
        <v>24.5</v>
      </c>
      <c r="AB64" s="2">
        <v>78.4</v>
      </c>
      <c r="AC64" s="2">
        <v>16</v>
      </c>
      <c r="BT64" s="2" t="e">
        <f t="shared" si="9"/>
        <v>#DIV/0!</v>
      </c>
    </row>
    <row r="65" spans="1:72">
      <c r="A65" s="9"/>
      <c r="B65" s="9"/>
      <c r="C65" s="7" t="s">
        <v>80</v>
      </c>
      <c r="F65" s="2">
        <v>7.391</v>
      </c>
      <c r="G65" s="2">
        <v>376.1</v>
      </c>
      <c r="H65" s="2">
        <v>128.2</v>
      </c>
      <c r="I65" s="2">
        <v>2.53</v>
      </c>
      <c r="J65" s="2">
        <v>1.51</v>
      </c>
      <c r="K65" s="2">
        <v>104</v>
      </c>
      <c r="L65" s="2">
        <v>9.9</v>
      </c>
      <c r="M65" s="2">
        <v>0.73</v>
      </c>
      <c r="N65" s="2">
        <v>55</v>
      </c>
      <c r="O65" s="2">
        <v>21.2</v>
      </c>
      <c r="P65" s="2">
        <v>99.8</v>
      </c>
      <c r="Q65" s="2">
        <v>16</v>
      </c>
      <c r="R65" s="2">
        <v>7.349</v>
      </c>
      <c r="S65" s="2">
        <v>50.5</v>
      </c>
      <c r="T65" s="2">
        <v>127.7</v>
      </c>
      <c r="U65" s="2">
        <v>2.52</v>
      </c>
      <c r="V65" s="2">
        <v>1.51</v>
      </c>
      <c r="W65" s="2">
        <v>104</v>
      </c>
      <c r="X65" s="2">
        <v>9.7</v>
      </c>
      <c r="Y65" s="2">
        <v>0.67</v>
      </c>
      <c r="Z65" s="2">
        <v>56</v>
      </c>
      <c r="AA65" s="2">
        <v>22.6</v>
      </c>
      <c r="AB65" s="2">
        <v>84</v>
      </c>
      <c r="AC65" s="2">
        <v>16</v>
      </c>
      <c r="BT65" s="2" t="e">
        <f t="shared" si="9"/>
        <v>#DIV/0!</v>
      </c>
    </row>
    <row r="66" spans="1:72">
      <c r="A66" s="9"/>
      <c r="B66" s="9"/>
      <c r="C66" s="7" t="s">
        <v>81</v>
      </c>
      <c r="BT66" s="2" t="e">
        <f t="shared" si="9"/>
        <v>#DIV/0!</v>
      </c>
    </row>
    <row r="67" spans="1:72">
      <c r="A67" s="9"/>
      <c r="B67" s="9"/>
      <c r="C67" s="13" t="s">
        <v>82</v>
      </c>
      <c r="AK67" s="3">
        <v>7.96</v>
      </c>
      <c r="AL67" s="3">
        <v>3.12</v>
      </c>
      <c r="AM67" s="3">
        <v>25.53</v>
      </c>
      <c r="AN67" s="3">
        <v>-69.68</v>
      </c>
      <c r="AO67" s="3">
        <v>10.26</v>
      </c>
      <c r="AP67" s="3">
        <v>59.7</v>
      </c>
      <c r="AQ67" s="2">
        <v>17</v>
      </c>
      <c r="AR67" s="2">
        <v>97</v>
      </c>
      <c r="AS67" s="2">
        <v>108</v>
      </c>
      <c r="AT67" s="2">
        <v>252</v>
      </c>
      <c r="AU67" s="2">
        <v>102</v>
      </c>
      <c r="AV67" s="2">
        <v>109</v>
      </c>
      <c r="AW67" s="2">
        <v>18</v>
      </c>
      <c r="AX67" s="2">
        <v>53</v>
      </c>
      <c r="AY67" s="2">
        <v>137</v>
      </c>
      <c r="AZ67" s="2">
        <v>1298</v>
      </c>
      <c r="BA67" s="2">
        <v>-917</v>
      </c>
      <c r="BB67" s="2">
        <v>32</v>
      </c>
      <c r="BC67" s="2">
        <v>68</v>
      </c>
      <c r="BD67" s="2">
        <v>76</v>
      </c>
      <c r="BE67" s="2">
        <v>71</v>
      </c>
      <c r="BF67" s="2">
        <v>76</v>
      </c>
      <c r="BG67" s="2">
        <v>71</v>
      </c>
      <c r="BH67" s="2">
        <v>5</v>
      </c>
      <c r="BI67" s="2">
        <v>589</v>
      </c>
      <c r="BJ67" s="2">
        <v>7</v>
      </c>
      <c r="BK67" s="2">
        <v>315</v>
      </c>
      <c r="BL67" s="2">
        <v>19</v>
      </c>
      <c r="BM67" s="2">
        <v>3227</v>
      </c>
      <c r="BN67" s="2">
        <v>1</v>
      </c>
      <c r="BO67" s="2">
        <v>0</v>
      </c>
      <c r="BP67" s="2">
        <v>0</v>
      </c>
      <c r="BQ67" s="2">
        <v>0</v>
      </c>
      <c r="BR67" s="2">
        <v>419</v>
      </c>
      <c r="BS67" s="2">
        <v>110</v>
      </c>
      <c r="BT67" s="2" t="e">
        <f t="shared" si="9"/>
        <v>#DIV/0!</v>
      </c>
    </row>
    <row r="68" spans="1:72">
      <c r="A68" s="11"/>
      <c r="B68" s="11"/>
      <c r="C68" s="12" t="s">
        <v>83</v>
      </c>
      <c r="AK68" s="3">
        <v>5.32</v>
      </c>
      <c r="AL68" s="3">
        <v>0.86</v>
      </c>
      <c r="AM68" s="3">
        <v>5.9</v>
      </c>
      <c r="AN68" s="3">
        <v>24.99</v>
      </c>
      <c r="AO68" s="3">
        <v>10.98</v>
      </c>
      <c r="AP68" s="3">
        <v>82.61</v>
      </c>
      <c r="AQ68" s="2">
        <v>14</v>
      </c>
      <c r="AR68" s="2">
        <v>26</v>
      </c>
      <c r="AS68" s="2">
        <v>26</v>
      </c>
      <c r="AT68" s="2">
        <v>216</v>
      </c>
      <c r="AU68" s="2">
        <v>308</v>
      </c>
      <c r="AV68" s="2">
        <v>33</v>
      </c>
      <c r="AW68" s="2">
        <v>12</v>
      </c>
      <c r="AX68" s="2">
        <v>33</v>
      </c>
      <c r="AY68" s="2">
        <v>89</v>
      </c>
      <c r="AZ68" s="2">
        <v>478</v>
      </c>
      <c r="BA68" s="2">
        <v>-176</v>
      </c>
      <c r="BB68" s="2">
        <v>48</v>
      </c>
      <c r="BC68" s="2">
        <v>124</v>
      </c>
      <c r="BD68" s="2">
        <v>91</v>
      </c>
      <c r="BE68" s="2">
        <v>87</v>
      </c>
      <c r="BF68" s="2">
        <v>90</v>
      </c>
      <c r="BG68" s="2">
        <v>87</v>
      </c>
      <c r="BH68" s="2">
        <v>4</v>
      </c>
      <c r="BI68" s="2">
        <v>342</v>
      </c>
      <c r="BJ68" s="2">
        <v>4</v>
      </c>
      <c r="BK68" s="2">
        <v>43</v>
      </c>
      <c r="BL68" s="2">
        <v>7</v>
      </c>
      <c r="BM68" s="2">
        <v>967</v>
      </c>
      <c r="BN68" s="2">
        <v>0</v>
      </c>
      <c r="BO68" s="2">
        <v>0</v>
      </c>
      <c r="BP68" s="2">
        <v>0</v>
      </c>
      <c r="BQ68" s="2">
        <v>0</v>
      </c>
      <c r="BR68" s="2">
        <v>99</v>
      </c>
      <c r="BS68" s="2">
        <v>93</v>
      </c>
      <c r="BT68" s="2" t="e">
        <f t="shared" si="9"/>
        <v>#DIV/0!</v>
      </c>
    </row>
    <row r="69" spans="1:72">
      <c r="A69" s="6">
        <v>12</v>
      </c>
      <c r="B69" s="6" t="s">
        <v>96</v>
      </c>
      <c r="C69" s="7" t="s">
        <v>78</v>
      </c>
      <c r="BT69" s="2" t="e">
        <f t="shared" si="9"/>
        <v>#DIV/0!</v>
      </c>
    </row>
    <row r="70" spans="1:72">
      <c r="A70" s="9"/>
      <c r="B70" s="9"/>
      <c r="C70" s="7" t="s">
        <v>79</v>
      </c>
      <c r="BT70" s="2" t="e">
        <f t="shared" si="9"/>
        <v>#DIV/0!</v>
      </c>
    </row>
    <row r="71" spans="1:72">
      <c r="A71" s="9"/>
      <c r="B71" s="9"/>
      <c r="C71" s="7" t="s">
        <v>80</v>
      </c>
      <c r="BT71" s="2" t="e">
        <f t="shared" si="9"/>
        <v>#DIV/0!</v>
      </c>
    </row>
    <row r="72" spans="1:72">
      <c r="A72" s="9"/>
      <c r="B72" s="9"/>
      <c r="C72" s="7" t="s">
        <v>81</v>
      </c>
      <c r="BT72" s="2" t="e">
        <f t="shared" si="9"/>
        <v>#DIV/0!</v>
      </c>
    </row>
    <row r="73" s="1" customFormat="1" spans="1:72">
      <c r="A73" s="9"/>
      <c r="B73" s="9"/>
      <c r="C73" s="13" t="s">
        <v>82</v>
      </c>
      <c r="AK73" s="1">
        <v>2.03</v>
      </c>
      <c r="AL73" s="1">
        <v>0.47</v>
      </c>
      <c r="AM73" s="1">
        <v>50.44</v>
      </c>
      <c r="AN73" s="1">
        <v>41.38</v>
      </c>
      <c r="AO73" s="1">
        <v>10.52</v>
      </c>
      <c r="AP73" s="1">
        <v>4.35</v>
      </c>
      <c r="AQ73" s="1">
        <v>12</v>
      </c>
      <c r="AR73" s="1">
        <v>115</v>
      </c>
      <c r="AS73" s="1">
        <v>165</v>
      </c>
      <c r="AT73" s="1">
        <v>175</v>
      </c>
      <c r="AU73" s="1">
        <v>348</v>
      </c>
      <c r="AV73" s="1">
        <v>142</v>
      </c>
      <c r="AW73" s="1">
        <v>10</v>
      </c>
      <c r="AX73" s="1">
        <v>44</v>
      </c>
      <c r="AY73" s="1">
        <v>116</v>
      </c>
      <c r="AZ73" s="1">
        <v>2712</v>
      </c>
      <c r="BA73" s="1">
        <v>-1933</v>
      </c>
      <c r="BB73" s="1">
        <v>46</v>
      </c>
      <c r="BC73" s="1">
        <v>39</v>
      </c>
      <c r="BD73" s="1">
        <v>74</v>
      </c>
      <c r="BE73" s="1">
        <v>66</v>
      </c>
      <c r="BF73" s="1">
        <v>74</v>
      </c>
      <c r="BG73" s="1">
        <v>67</v>
      </c>
      <c r="BH73" s="1">
        <v>8</v>
      </c>
      <c r="BI73" s="1">
        <v>734</v>
      </c>
      <c r="BJ73" s="1">
        <v>11</v>
      </c>
      <c r="BK73" s="1">
        <v>968</v>
      </c>
      <c r="BL73" s="1">
        <v>14</v>
      </c>
      <c r="BM73" s="1">
        <v>2873</v>
      </c>
      <c r="BN73" s="1">
        <v>1</v>
      </c>
      <c r="BO73" s="1">
        <v>0</v>
      </c>
      <c r="BP73" s="1">
        <v>0</v>
      </c>
      <c r="BQ73" s="1">
        <v>0</v>
      </c>
      <c r="BR73" s="1">
        <v>1048</v>
      </c>
      <c r="BS73" s="1">
        <v>88</v>
      </c>
      <c r="BT73" s="1" t="e">
        <f t="shared" ref="BT73:BT88" si="10">BI73/(0.0734*(POWER(D73,0.656)))</f>
        <v>#DIV/0!</v>
      </c>
    </row>
    <row r="74" spans="1:72">
      <c r="A74" s="11"/>
      <c r="B74" s="11"/>
      <c r="C74" s="12" t="s">
        <v>83</v>
      </c>
      <c r="AK74" s="3">
        <v>3.43</v>
      </c>
      <c r="AL74" s="3">
        <v>0.22</v>
      </c>
      <c r="AM74" s="3">
        <v>18.84</v>
      </c>
      <c r="AN74" s="3">
        <v>33.67</v>
      </c>
      <c r="AO74" s="3">
        <v>4.77</v>
      </c>
      <c r="AP74" s="3">
        <v>43.77</v>
      </c>
      <c r="AQ74" s="2">
        <v>8</v>
      </c>
      <c r="AR74" s="2">
        <v>51</v>
      </c>
      <c r="AS74" s="2">
        <v>68</v>
      </c>
      <c r="AT74" s="2">
        <v>89</v>
      </c>
      <c r="AU74" s="2">
        <v>255</v>
      </c>
      <c r="AV74" s="2">
        <v>61</v>
      </c>
      <c r="AW74" s="2">
        <v>5</v>
      </c>
      <c r="AX74" s="2">
        <v>44</v>
      </c>
      <c r="AY74" s="2">
        <v>76</v>
      </c>
      <c r="AZ74" s="2">
        <v>2239</v>
      </c>
      <c r="BA74" s="2">
        <v>-1080</v>
      </c>
      <c r="BB74" s="2">
        <v>52</v>
      </c>
      <c r="BC74" s="2">
        <v>26</v>
      </c>
      <c r="BD74" s="2">
        <v>63</v>
      </c>
      <c r="BE74" s="2">
        <v>55</v>
      </c>
      <c r="BF74" s="2">
        <v>62</v>
      </c>
      <c r="BG74" s="2">
        <v>59</v>
      </c>
      <c r="BH74" s="2">
        <v>8</v>
      </c>
      <c r="BI74" s="2">
        <v>1037</v>
      </c>
      <c r="BJ74" s="2">
        <v>13</v>
      </c>
      <c r="BK74" s="2">
        <v>310</v>
      </c>
      <c r="BL74" s="2">
        <v>6</v>
      </c>
      <c r="BM74" s="2">
        <v>1723</v>
      </c>
      <c r="BN74" s="2">
        <v>0</v>
      </c>
      <c r="BO74" s="2">
        <v>0</v>
      </c>
      <c r="BP74" s="2">
        <v>0</v>
      </c>
      <c r="BQ74" s="2">
        <v>0</v>
      </c>
      <c r="BR74" s="2">
        <v>75</v>
      </c>
      <c r="BS74" s="2">
        <v>129</v>
      </c>
      <c r="BT74" s="2" t="e">
        <f t="shared" si="10"/>
        <v>#DIV/0!</v>
      </c>
    </row>
    <row r="75" spans="1:72">
      <c r="A75" s="6">
        <v>13</v>
      </c>
      <c r="B75" s="6" t="s">
        <v>97</v>
      </c>
      <c r="C75" s="7" t="s">
        <v>78</v>
      </c>
      <c r="BT75" s="2" t="e">
        <f t="shared" si="10"/>
        <v>#DIV/0!</v>
      </c>
    </row>
    <row r="76" spans="1:72">
      <c r="A76" s="9"/>
      <c r="B76" s="9"/>
      <c r="C76" s="7" t="s">
        <v>79</v>
      </c>
      <c r="BT76" s="2" t="e">
        <f t="shared" si="10"/>
        <v>#DIV/0!</v>
      </c>
    </row>
    <row r="77" spans="1:72">
      <c r="A77" s="9"/>
      <c r="B77" s="9"/>
      <c r="C77" s="7" t="s">
        <v>80</v>
      </c>
      <c r="BT77" s="2" t="e">
        <f t="shared" si="10"/>
        <v>#DIV/0!</v>
      </c>
    </row>
    <row r="78" spans="1:72">
      <c r="A78" s="9"/>
      <c r="B78" s="9"/>
      <c r="C78" s="7" t="s">
        <v>81</v>
      </c>
      <c r="BT78" s="2" t="e">
        <f t="shared" si="10"/>
        <v>#DIV/0!</v>
      </c>
    </row>
    <row r="79" spans="1:72">
      <c r="A79" s="9"/>
      <c r="B79" s="9"/>
      <c r="C79" s="13" t="s">
        <v>82</v>
      </c>
      <c r="AK79" s="3">
        <v>3.03</v>
      </c>
      <c r="AL79" s="3">
        <v>3.7</v>
      </c>
      <c r="AM79" s="3">
        <v>4.98</v>
      </c>
      <c r="AN79" s="3">
        <v>-87.34</v>
      </c>
      <c r="AO79" s="3">
        <v>7.28</v>
      </c>
      <c r="AP79" s="3">
        <v>60.75</v>
      </c>
      <c r="AQ79" s="2">
        <v>48</v>
      </c>
      <c r="AR79" s="2">
        <v>80</v>
      </c>
      <c r="AS79" s="2">
        <v>57</v>
      </c>
      <c r="AT79" s="2">
        <v>121</v>
      </c>
      <c r="AU79" s="2">
        <v>479</v>
      </c>
      <c r="AV79" s="2">
        <v>89</v>
      </c>
      <c r="AW79" s="2">
        <v>43</v>
      </c>
      <c r="AX79" s="2">
        <v>57</v>
      </c>
      <c r="AY79" s="2">
        <v>108</v>
      </c>
      <c r="AZ79" s="2">
        <v>661</v>
      </c>
      <c r="BA79" s="2">
        <v>-473</v>
      </c>
      <c r="BB79" s="2">
        <v>26</v>
      </c>
      <c r="BC79" s="2">
        <v>170</v>
      </c>
      <c r="BD79" s="2">
        <v>94</v>
      </c>
      <c r="BE79" s="2">
        <v>89</v>
      </c>
      <c r="BF79" s="2">
        <v>94</v>
      </c>
      <c r="BG79" s="2">
        <v>89</v>
      </c>
      <c r="BH79" s="2">
        <v>5</v>
      </c>
      <c r="BI79" s="2">
        <v>426</v>
      </c>
      <c r="BJ79" s="2">
        <v>6</v>
      </c>
      <c r="BK79" s="2">
        <v>106</v>
      </c>
      <c r="BL79" s="2">
        <v>15</v>
      </c>
      <c r="BM79" s="2">
        <v>3907</v>
      </c>
      <c r="BN79" s="2">
        <v>0</v>
      </c>
      <c r="BO79" s="2">
        <v>0</v>
      </c>
      <c r="BP79" s="2">
        <v>0</v>
      </c>
      <c r="BQ79" s="2">
        <v>0</v>
      </c>
      <c r="BR79" s="2">
        <v>411</v>
      </c>
      <c r="BS79" s="2">
        <v>80</v>
      </c>
      <c r="BT79" s="2" t="e">
        <f t="shared" si="10"/>
        <v>#DIV/0!</v>
      </c>
    </row>
    <row r="80" spans="1:72">
      <c r="A80" s="11"/>
      <c r="B80" s="11"/>
      <c r="C80" s="12" t="s">
        <v>83</v>
      </c>
      <c r="AK80" s="3">
        <v>4.49</v>
      </c>
      <c r="AL80" s="3">
        <v>0.35</v>
      </c>
      <c r="AM80" s="3">
        <v>10.9</v>
      </c>
      <c r="AN80" s="3">
        <v>85.78</v>
      </c>
      <c r="AO80" s="3">
        <v>5.73</v>
      </c>
      <c r="AP80" s="3">
        <v>70.99</v>
      </c>
      <c r="AQ80" s="2">
        <v>6</v>
      </c>
      <c r="AR80" s="2">
        <v>27</v>
      </c>
      <c r="AS80" s="2">
        <v>30</v>
      </c>
      <c r="AT80" s="2">
        <v>49</v>
      </c>
      <c r="AU80" s="2">
        <v>255</v>
      </c>
      <c r="AV80" s="2">
        <v>30</v>
      </c>
      <c r="AW80" s="2">
        <v>4</v>
      </c>
      <c r="AX80" s="2">
        <v>33</v>
      </c>
      <c r="AY80" s="2">
        <v>66</v>
      </c>
      <c r="AZ80" s="2">
        <v>1018</v>
      </c>
      <c r="BA80" s="2">
        <v>-903</v>
      </c>
      <c r="BB80" s="2">
        <v>60</v>
      </c>
      <c r="BC80" s="2">
        <v>24</v>
      </c>
      <c r="BD80" s="2">
        <v>83</v>
      </c>
      <c r="BE80" s="2">
        <v>76</v>
      </c>
      <c r="BF80" s="2">
        <v>83</v>
      </c>
      <c r="BG80" s="2">
        <v>78</v>
      </c>
      <c r="BH80" s="2">
        <v>7</v>
      </c>
      <c r="BI80" s="2">
        <v>1112</v>
      </c>
      <c r="BJ80" s="2">
        <v>9</v>
      </c>
      <c r="BK80" s="2">
        <v>138</v>
      </c>
      <c r="BL80" s="2">
        <v>4</v>
      </c>
      <c r="BM80" s="2">
        <v>456</v>
      </c>
      <c r="BN80" s="2">
        <v>0</v>
      </c>
      <c r="BO80" s="2">
        <v>0</v>
      </c>
      <c r="BP80" s="2">
        <v>0</v>
      </c>
      <c r="BQ80" s="2">
        <v>0</v>
      </c>
      <c r="BR80" s="2">
        <v>161</v>
      </c>
      <c r="BS80" s="2">
        <v>152</v>
      </c>
      <c r="BT80" s="2" t="e">
        <f t="shared" si="10"/>
        <v>#DIV/0!</v>
      </c>
    </row>
    <row r="81" spans="1:72">
      <c r="A81" s="6">
        <v>14</v>
      </c>
      <c r="B81" s="6" t="s">
        <v>98</v>
      </c>
      <c r="C81" s="7" t="s">
        <v>78</v>
      </c>
      <c r="BT81" s="2" t="e">
        <f t="shared" si="10"/>
        <v>#DIV/0!</v>
      </c>
    </row>
    <row r="82" spans="1:72">
      <c r="A82" s="9"/>
      <c r="B82" s="9"/>
      <c r="C82" s="7" t="s">
        <v>79</v>
      </c>
      <c r="BT82" s="2" t="e">
        <f t="shared" si="10"/>
        <v>#DIV/0!</v>
      </c>
    </row>
    <row r="83" spans="1:72">
      <c r="A83" s="9"/>
      <c r="B83" s="9"/>
      <c r="C83" s="7" t="s">
        <v>80</v>
      </c>
      <c r="BT83" s="2" t="e">
        <f t="shared" si="10"/>
        <v>#DIV/0!</v>
      </c>
    </row>
    <row r="84" spans="1:72">
      <c r="A84" s="9"/>
      <c r="B84" s="9"/>
      <c r="C84" s="7" t="s">
        <v>81</v>
      </c>
      <c r="BT84" s="2" t="e">
        <f t="shared" si="10"/>
        <v>#DIV/0!</v>
      </c>
    </row>
    <row r="85" spans="1:72">
      <c r="A85" s="9"/>
      <c r="B85" s="9"/>
      <c r="C85" s="13" t="s">
        <v>82</v>
      </c>
      <c r="AK85" s="26" t="s">
        <v>99</v>
      </c>
      <c r="AL85" s="27"/>
      <c r="AM85" s="27"/>
      <c r="AN85" s="27"/>
      <c r="AO85" s="27"/>
      <c r="AP85" s="27"/>
      <c r="AQ85" s="31"/>
      <c r="BT85" s="2" t="e">
        <f t="shared" si="10"/>
        <v>#DIV/0!</v>
      </c>
    </row>
    <row r="86" spans="1:72">
      <c r="A86" s="11"/>
      <c r="B86" s="11"/>
      <c r="C86" s="12" t="s">
        <v>83</v>
      </c>
      <c r="AK86" s="28"/>
      <c r="AL86" s="29"/>
      <c r="AM86" s="29"/>
      <c r="AN86" s="29"/>
      <c r="AO86" s="29"/>
      <c r="AP86" s="29"/>
      <c r="AQ86" s="32"/>
      <c r="BT86" s="2" t="e">
        <f t="shared" si="10"/>
        <v>#DIV/0!</v>
      </c>
    </row>
    <row r="87" spans="1:72">
      <c r="A87" s="6">
        <v>15</v>
      </c>
      <c r="B87" s="6" t="s">
        <v>100</v>
      </c>
      <c r="C87" s="7" t="s">
        <v>78</v>
      </c>
      <c r="D87" s="2">
        <v>44.1</v>
      </c>
      <c r="E87" s="2">
        <v>233</v>
      </c>
      <c r="BT87" s="2">
        <f t="shared" si="10"/>
        <v>0</v>
      </c>
    </row>
    <row r="88" spans="1:72">
      <c r="A88" s="9"/>
      <c r="B88" s="9"/>
      <c r="C88" s="7" t="s">
        <v>79</v>
      </c>
      <c r="D88" s="2">
        <v>44.1</v>
      </c>
      <c r="E88" s="2">
        <v>233</v>
      </c>
      <c r="BT88" s="2">
        <f t="shared" si="10"/>
        <v>0</v>
      </c>
    </row>
    <row r="89" spans="1:5">
      <c r="A89" s="9"/>
      <c r="B89" s="9"/>
      <c r="C89" s="7" t="s">
        <v>80</v>
      </c>
      <c r="D89" s="2">
        <v>44.1</v>
      </c>
      <c r="E89" s="2">
        <v>233</v>
      </c>
    </row>
    <row r="90" spans="1:5">
      <c r="A90" s="9"/>
      <c r="B90" s="9"/>
      <c r="C90" s="7" t="s">
        <v>81</v>
      </c>
      <c r="D90" s="2">
        <v>44.1</v>
      </c>
      <c r="E90" s="2">
        <v>233</v>
      </c>
    </row>
    <row r="91" s="1" customFormat="1" spans="1:71">
      <c r="A91" s="9"/>
      <c r="B91" s="9"/>
      <c r="C91" s="13" t="s">
        <v>82</v>
      </c>
      <c r="D91" s="2">
        <v>44.1</v>
      </c>
      <c r="E91" s="2">
        <v>233</v>
      </c>
      <c r="AK91" s="1">
        <v>6.18</v>
      </c>
      <c r="AL91" s="1">
        <v>0.19</v>
      </c>
      <c r="AM91" s="1">
        <v>65.07</v>
      </c>
      <c r="AN91" s="1">
        <v>154.81</v>
      </c>
      <c r="AO91" s="1">
        <v>7.79</v>
      </c>
      <c r="AP91" s="1">
        <v>195.9</v>
      </c>
      <c r="AQ91" s="1">
        <v>5</v>
      </c>
      <c r="AR91" s="1">
        <v>112</v>
      </c>
      <c r="AS91" s="1">
        <v>164</v>
      </c>
      <c r="AT91" s="1">
        <v>165</v>
      </c>
      <c r="AU91" s="1">
        <v>336</v>
      </c>
      <c r="AV91" s="1">
        <v>143</v>
      </c>
      <c r="AW91" s="1">
        <v>10</v>
      </c>
      <c r="AX91" s="1">
        <v>51</v>
      </c>
      <c r="AY91" s="1">
        <v>92</v>
      </c>
      <c r="AZ91" s="1">
        <v>4827</v>
      </c>
      <c r="BA91" s="1">
        <v>-1766</v>
      </c>
      <c r="BB91" s="1">
        <v>52</v>
      </c>
      <c r="BC91" s="1">
        <v>64</v>
      </c>
      <c r="BD91" s="1">
        <v>217</v>
      </c>
      <c r="BE91" s="1">
        <v>215</v>
      </c>
      <c r="BF91" s="1">
        <v>217</v>
      </c>
      <c r="BG91" s="1">
        <v>215</v>
      </c>
      <c r="BH91" s="1">
        <v>3</v>
      </c>
      <c r="BI91" s="1">
        <v>244</v>
      </c>
      <c r="BJ91" s="1">
        <v>1</v>
      </c>
      <c r="BK91" s="1">
        <v>181</v>
      </c>
      <c r="BL91" s="1">
        <v>44</v>
      </c>
      <c r="BM91" s="1">
        <v>2773</v>
      </c>
      <c r="BN91" s="1">
        <v>0</v>
      </c>
      <c r="BO91" s="1">
        <v>0</v>
      </c>
      <c r="BP91" s="1">
        <v>0</v>
      </c>
      <c r="BQ91" s="1">
        <v>0</v>
      </c>
      <c r="BR91" s="1">
        <v>35</v>
      </c>
      <c r="BS91" s="1">
        <v>93</v>
      </c>
    </row>
    <row r="92" spans="1:71">
      <c r="A92" s="11"/>
      <c r="B92" s="11"/>
      <c r="C92" s="12" t="s">
        <v>83</v>
      </c>
      <c r="D92" s="2">
        <v>42</v>
      </c>
      <c r="AK92" s="3">
        <v>22.99</v>
      </c>
      <c r="AL92" s="3">
        <v>1.05</v>
      </c>
      <c r="AM92" s="3">
        <v>19.69</v>
      </c>
      <c r="AN92" s="3">
        <v>130.09</v>
      </c>
      <c r="AO92" s="3">
        <v>52.15</v>
      </c>
      <c r="AP92" s="3">
        <v>111.19</v>
      </c>
      <c r="AQ92" s="2">
        <v>8</v>
      </c>
      <c r="AR92" s="2">
        <v>47</v>
      </c>
      <c r="AS92" s="2">
        <v>52</v>
      </c>
      <c r="AT92" s="2">
        <v>97</v>
      </c>
      <c r="AU92" s="2">
        <v>137</v>
      </c>
      <c r="AV92" s="2">
        <v>51</v>
      </c>
      <c r="AW92" s="2">
        <v>4</v>
      </c>
      <c r="AX92" s="2">
        <v>50</v>
      </c>
      <c r="AY92" s="2">
        <v>120</v>
      </c>
      <c r="AZ92" s="2">
        <v>1160</v>
      </c>
      <c r="BA92" s="2">
        <v>-1206</v>
      </c>
      <c r="BB92" s="2">
        <v>38</v>
      </c>
      <c r="BC92" s="2">
        <v>35</v>
      </c>
      <c r="BD92" s="2">
        <v>139</v>
      </c>
      <c r="BE92" s="2">
        <v>127</v>
      </c>
      <c r="BF92" s="2">
        <v>138</v>
      </c>
      <c r="BG92" s="2">
        <v>128</v>
      </c>
      <c r="BH92" s="2">
        <v>12</v>
      </c>
      <c r="BI92" s="2">
        <v>1794</v>
      </c>
      <c r="BJ92" s="2">
        <v>9</v>
      </c>
      <c r="BK92" s="2">
        <v>340</v>
      </c>
      <c r="BL92" s="2">
        <v>4</v>
      </c>
      <c r="BM92" s="2">
        <v>4372</v>
      </c>
      <c r="BN92" s="2">
        <v>0</v>
      </c>
      <c r="BO92" s="2">
        <v>0</v>
      </c>
      <c r="BP92" s="2">
        <v>0</v>
      </c>
      <c r="BQ92" s="2">
        <v>0</v>
      </c>
      <c r="BR92" s="2">
        <v>497</v>
      </c>
      <c r="BS92" s="2">
        <v>148</v>
      </c>
    </row>
    <row r="93" spans="1:29">
      <c r="A93" s="6">
        <v>16</v>
      </c>
      <c r="B93" s="6" t="s">
        <v>101</v>
      </c>
      <c r="C93" s="7" t="s">
        <v>78</v>
      </c>
      <c r="D93" s="2">
        <v>43</v>
      </c>
      <c r="F93" s="2">
        <v>7.356</v>
      </c>
      <c r="G93" s="2">
        <v>209.3</v>
      </c>
      <c r="H93" s="2">
        <v>135.3</v>
      </c>
      <c r="I93" s="2">
        <v>4.2</v>
      </c>
      <c r="J93" s="2">
        <v>1.34</v>
      </c>
      <c r="K93" s="2">
        <v>116</v>
      </c>
      <c r="L93" s="2">
        <v>6.7</v>
      </c>
      <c r="M93" s="2">
        <v>0.95</v>
      </c>
      <c r="N93" s="2">
        <v>36</v>
      </c>
      <c r="O93" s="2">
        <v>20.7</v>
      </c>
      <c r="P93" s="2">
        <v>99.4</v>
      </c>
      <c r="Q93" s="2">
        <v>11</v>
      </c>
      <c r="R93" s="2">
        <v>7.347</v>
      </c>
      <c r="S93" s="2">
        <v>73.7</v>
      </c>
      <c r="T93" s="2">
        <v>135.3</v>
      </c>
      <c r="U93" s="2">
        <v>4.11</v>
      </c>
      <c r="V93" s="2">
        <v>0.76</v>
      </c>
      <c r="W93" s="2">
        <v>114</v>
      </c>
      <c r="X93" s="2">
        <v>6.7</v>
      </c>
      <c r="Y93" s="2">
        <v>1</v>
      </c>
      <c r="Z93" s="2">
        <v>37</v>
      </c>
      <c r="AA93" s="2">
        <v>21</v>
      </c>
      <c r="AB93" s="2">
        <v>94.2</v>
      </c>
      <c r="AC93" s="2">
        <v>11</v>
      </c>
    </row>
    <row r="94" spans="1:29">
      <c r="A94" s="9"/>
      <c r="B94" s="9"/>
      <c r="C94" s="7" t="s">
        <v>79</v>
      </c>
      <c r="D94" s="2">
        <v>43</v>
      </c>
      <c r="F94" s="2">
        <v>7.306</v>
      </c>
      <c r="G94" s="2">
        <v>237.6</v>
      </c>
      <c r="H94" s="2">
        <v>135.8</v>
      </c>
      <c r="I94" s="2">
        <v>3.69</v>
      </c>
      <c r="J94" s="2">
        <v>1.17</v>
      </c>
      <c r="K94" s="2">
        <v>115</v>
      </c>
      <c r="L94" s="2">
        <v>6.6</v>
      </c>
      <c r="M94" s="2">
        <v>1.52</v>
      </c>
      <c r="N94" s="2">
        <v>37</v>
      </c>
      <c r="O94" s="2">
        <v>20.4</v>
      </c>
      <c r="P94" s="2">
        <v>99.5</v>
      </c>
      <c r="Q94" s="2">
        <v>11</v>
      </c>
      <c r="R94" s="2">
        <v>7.284</v>
      </c>
      <c r="S94" s="2">
        <v>55</v>
      </c>
      <c r="T94" s="2">
        <v>135.6</v>
      </c>
      <c r="U94" s="2">
        <v>3.65</v>
      </c>
      <c r="V94" s="2">
        <v>1.18</v>
      </c>
      <c r="W94" s="2">
        <v>115</v>
      </c>
      <c r="X94" s="2">
        <v>6.5</v>
      </c>
      <c r="Y94" s="2">
        <v>1.59</v>
      </c>
      <c r="Z94" s="2">
        <v>38</v>
      </c>
      <c r="AA94" s="2">
        <v>20.7</v>
      </c>
      <c r="AB94" s="2">
        <v>84.8</v>
      </c>
      <c r="AC94" s="2">
        <v>11</v>
      </c>
    </row>
    <row r="95" spans="1:29">
      <c r="A95" s="9"/>
      <c r="B95" s="9"/>
      <c r="C95" s="7" t="s">
        <v>80</v>
      </c>
      <c r="D95" s="2">
        <v>43</v>
      </c>
      <c r="F95" s="2">
        <v>7.305</v>
      </c>
      <c r="G95" s="2">
        <v>232.7</v>
      </c>
      <c r="H95" s="2">
        <v>136</v>
      </c>
      <c r="I95" s="2">
        <v>3.41</v>
      </c>
      <c r="J95" s="2">
        <v>1.17</v>
      </c>
      <c r="K95" s="2">
        <v>115</v>
      </c>
      <c r="L95" s="2">
        <v>6.4</v>
      </c>
      <c r="M95" s="2">
        <v>2.12</v>
      </c>
      <c r="N95" s="2">
        <v>40</v>
      </c>
      <c r="O95" s="2">
        <v>20</v>
      </c>
      <c r="P95" s="2">
        <v>99.4</v>
      </c>
      <c r="Q95" s="2">
        <v>12</v>
      </c>
      <c r="R95" s="2">
        <v>7.284</v>
      </c>
      <c r="S95" s="2">
        <v>51</v>
      </c>
      <c r="T95" s="2">
        <v>136</v>
      </c>
      <c r="U95" s="2">
        <v>3.41</v>
      </c>
      <c r="V95" s="2">
        <v>1.19</v>
      </c>
      <c r="W95" s="2">
        <v>115</v>
      </c>
      <c r="X95" s="2">
        <v>6.3</v>
      </c>
      <c r="Y95" s="2">
        <v>2.07</v>
      </c>
      <c r="Z95" s="2">
        <v>39</v>
      </c>
      <c r="AA95" s="2">
        <v>20</v>
      </c>
      <c r="AB95" s="2">
        <v>81.7</v>
      </c>
      <c r="AC95" s="2">
        <v>11</v>
      </c>
    </row>
    <row r="96" spans="1:29">
      <c r="A96" s="9"/>
      <c r="B96" s="9"/>
      <c r="C96" s="7" t="s">
        <v>81</v>
      </c>
      <c r="D96" s="2">
        <v>43</v>
      </c>
      <c r="F96" s="2">
        <v>7.345</v>
      </c>
      <c r="G96" s="2">
        <v>237.6</v>
      </c>
      <c r="H96" s="2">
        <v>136.6</v>
      </c>
      <c r="I96" s="2">
        <v>3.36</v>
      </c>
      <c r="J96" s="2">
        <v>1.14</v>
      </c>
      <c r="K96" s="2">
        <v>116</v>
      </c>
      <c r="L96" s="2">
        <v>6.5</v>
      </c>
      <c r="M96" s="2">
        <v>2.16</v>
      </c>
      <c r="N96" s="2">
        <v>41</v>
      </c>
      <c r="O96" s="2">
        <v>19.8</v>
      </c>
      <c r="P96" s="2">
        <v>99.5</v>
      </c>
      <c r="Q96" s="2">
        <v>12</v>
      </c>
      <c r="R96" s="2">
        <v>7.322</v>
      </c>
      <c r="S96" s="2">
        <v>51.7</v>
      </c>
      <c r="T96" s="2">
        <v>136.6</v>
      </c>
      <c r="U96" s="2">
        <v>3.36</v>
      </c>
      <c r="V96" s="2">
        <v>1.15</v>
      </c>
      <c r="W96" s="2">
        <v>116</v>
      </c>
      <c r="X96" s="2">
        <v>6.6</v>
      </c>
      <c r="Y96" s="2">
        <v>2.18</v>
      </c>
      <c r="Z96" s="2">
        <v>40</v>
      </c>
      <c r="AA96" s="2">
        <v>20</v>
      </c>
      <c r="AB96" s="2">
        <v>84</v>
      </c>
      <c r="AC96" s="2">
        <v>12</v>
      </c>
    </row>
    <row r="97" s="1" customFormat="1" spans="1:71">
      <c r="A97" s="9"/>
      <c r="B97" s="9"/>
      <c r="C97" s="13" t="s">
        <v>82</v>
      </c>
      <c r="D97" s="2">
        <v>43</v>
      </c>
      <c r="F97" s="1">
        <v>7.309</v>
      </c>
      <c r="G97" s="1">
        <v>203.3</v>
      </c>
      <c r="H97" s="1">
        <v>136.2</v>
      </c>
      <c r="I97" s="1">
        <v>3.76</v>
      </c>
      <c r="J97" s="1">
        <v>1.28</v>
      </c>
      <c r="K97" s="1">
        <v>116</v>
      </c>
      <c r="L97" s="1">
        <v>6.5</v>
      </c>
      <c r="M97" s="1">
        <v>0.77</v>
      </c>
      <c r="N97" s="1">
        <v>42</v>
      </c>
      <c r="O97" s="1">
        <v>20.3</v>
      </c>
      <c r="P97" s="1">
        <v>99.3</v>
      </c>
      <c r="Q97" s="1">
        <v>12</v>
      </c>
      <c r="R97" s="1">
        <v>7.285</v>
      </c>
      <c r="S97" s="1">
        <v>66.3</v>
      </c>
      <c r="T97" s="1">
        <v>136.6</v>
      </c>
      <c r="U97" s="1">
        <v>3.76</v>
      </c>
      <c r="V97" s="1">
        <v>1.27</v>
      </c>
      <c r="W97" s="1">
        <v>117</v>
      </c>
      <c r="X97" s="1">
        <v>6.6</v>
      </c>
      <c r="Y97" s="1">
        <v>0.86</v>
      </c>
      <c r="Z97" s="1">
        <v>42</v>
      </c>
      <c r="AA97" s="1">
        <v>21.4</v>
      </c>
      <c r="AB97" s="1">
        <v>90.7</v>
      </c>
      <c r="AC97" s="1">
        <v>12</v>
      </c>
      <c r="AK97" s="1">
        <v>0.86</v>
      </c>
      <c r="AL97" s="1">
        <v>0.14</v>
      </c>
      <c r="AM97" s="1">
        <v>571</v>
      </c>
      <c r="AN97" s="1">
        <v>-33.9</v>
      </c>
      <c r="AO97" s="1">
        <v>0.27</v>
      </c>
      <c r="AP97" s="1">
        <v>40.04</v>
      </c>
      <c r="AQ97" s="1">
        <v>35</v>
      </c>
      <c r="AR97" s="1">
        <v>106</v>
      </c>
      <c r="AS97" s="1">
        <v>121</v>
      </c>
      <c r="AT97" s="1">
        <v>175</v>
      </c>
      <c r="AU97" s="1">
        <v>280</v>
      </c>
      <c r="AV97" s="1">
        <v>131</v>
      </c>
      <c r="AW97" s="1">
        <v>33</v>
      </c>
      <c r="AX97" s="1">
        <v>41</v>
      </c>
      <c r="AY97" s="1">
        <v>106</v>
      </c>
      <c r="AZ97" s="1">
        <v>2222</v>
      </c>
      <c r="BA97" s="1">
        <v>-1098</v>
      </c>
      <c r="BB97" s="1">
        <v>45</v>
      </c>
      <c r="BC97" s="1">
        <v>81</v>
      </c>
      <c r="BD97" s="1">
        <v>196</v>
      </c>
      <c r="BE97" s="1">
        <v>150</v>
      </c>
      <c r="BF97" s="1">
        <v>176</v>
      </c>
      <c r="BG97" s="1">
        <v>151</v>
      </c>
      <c r="BH97" s="1">
        <v>46</v>
      </c>
      <c r="BI97" s="1">
        <v>4561</v>
      </c>
      <c r="BJ97" s="1">
        <v>23</v>
      </c>
      <c r="BK97" s="1">
        <v>3903</v>
      </c>
      <c r="BL97" s="1">
        <v>2</v>
      </c>
      <c r="BM97" s="1">
        <v>66782</v>
      </c>
      <c r="BN97" s="1">
        <v>2</v>
      </c>
      <c r="BO97" s="1">
        <v>0</v>
      </c>
      <c r="BP97" s="1">
        <v>0</v>
      </c>
      <c r="BQ97" s="1">
        <v>0</v>
      </c>
      <c r="BR97" s="1">
        <v>5773</v>
      </c>
      <c r="BS97" s="1">
        <v>99</v>
      </c>
    </row>
    <row r="98" spans="1:71">
      <c r="A98" s="11"/>
      <c r="B98" s="11"/>
      <c r="C98" s="12" t="s">
        <v>83</v>
      </c>
      <c r="D98" s="2">
        <v>42.4</v>
      </c>
      <c r="AK98" s="3">
        <v>5.94</v>
      </c>
      <c r="AL98" s="3">
        <v>0.75</v>
      </c>
      <c r="AM98" s="3">
        <v>-6.66</v>
      </c>
      <c r="AN98" s="3">
        <v>87.1</v>
      </c>
      <c r="AO98" s="3">
        <v>5.57</v>
      </c>
      <c r="AP98" s="3">
        <v>108</v>
      </c>
      <c r="AQ98" s="2">
        <v>28</v>
      </c>
      <c r="AR98" s="2">
        <v>87</v>
      </c>
      <c r="AS98" s="2">
        <v>64</v>
      </c>
      <c r="AT98" s="2">
        <v>34</v>
      </c>
      <c r="AU98" s="2">
        <v>104</v>
      </c>
      <c r="AV98" s="2">
        <v>81</v>
      </c>
      <c r="AW98" s="2">
        <v>26</v>
      </c>
      <c r="AX98" s="2">
        <v>51</v>
      </c>
      <c r="AY98" s="2">
        <v>106</v>
      </c>
      <c r="AZ98" s="2">
        <v>1625</v>
      </c>
      <c r="BA98" s="2">
        <v>-1213</v>
      </c>
      <c r="BB98" s="2">
        <v>42</v>
      </c>
      <c r="BC98" s="2">
        <v>81</v>
      </c>
      <c r="BD98" s="2">
        <v>132</v>
      </c>
      <c r="BE98" s="2">
        <v>124</v>
      </c>
      <c r="BF98" s="2">
        <v>131</v>
      </c>
      <c r="BG98" s="2">
        <v>127</v>
      </c>
      <c r="BH98" s="2">
        <v>9</v>
      </c>
      <c r="BI98" s="2">
        <v>1736</v>
      </c>
      <c r="BJ98" s="2">
        <v>6</v>
      </c>
      <c r="BK98" s="2">
        <v>212</v>
      </c>
      <c r="BL98" s="2">
        <v>11</v>
      </c>
      <c r="BM98" s="2">
        <v>4060</v>
      </c>
      <c r="BN98" s="2">
        <v>0</v>
      </c>
      <c r="BO98" s="2">
        <v>0</v>
      </c>
      <c r="BP98" s="2">
        <v>0</v>
      </c>
      <c r="BQ98" s="2">
        <v>0</v>
      </c>
      <c r="BR98" s="2">
        <v>329</v>
      </c>
      <c r="BS98" s="2">
        <v>205</v>
      </c>
    </row>
    <row r="99" spans="1:5">
      <c r="A99" s="6">
        <v>17</v>
      </c>
      <c r="B99" s="6" t="s">
        <v>102</v>
      </c>
      <c r="C99" s="7" t="s">
        <v>78</v>
      </c>
      <c r="E99" s="2">
        <v>225</v>
      </c>
    </row>
    <row r="100" spans="1:5">
      <c r="A100" s="9"/>
      <c r="B100" s="9"/>
      <c r="C100" s="7" t="s">
        <v>79</v>
      </c>
      <c r="E100" s="2">
        <v>225</v>
      </c>
    </row>
    <row r="101" spans="1:5">
      <c r="A101" s="9"/>
      <c r="B101" s="9"/>
      <c r="C101" s="7" t="s">
        <v>80</v>
      </c>
      <c r="E101" s="2">
        <v>225</v>
      </c>
    </row>
    <row r="102" spans="1:5">
      <c r="A102" s="9"/>
      <c r="B102" s="9"/>
      <c r="C102" s="7" t="s">
        <v>81</v>
      </c>
      <c r="E102" s="2">
        <v>225</v>
      </c>
    </row>
    <row r="103" s="1" customFormat="1" spans="1:5">
      <c r="A103" s="9"/>
      <c r="B103" s="9"/>
      <c r="C103" s="13" t="s">
        <v>82</v>
      </c>
      <c r="E103" s="2">
        <v>225</v>
      </c>
    </row>
    <row r="104" spans="1:5">
      <c r="A104" s="11"/>
      <c r="B104" s="11"/>
      <c r="C104" s="12" t="s">
        <v>83</v>
      </c>
      <c r="E104" s="2">
        <v>225</v>
      </c>
    </row>
    <row r="105" spans="1:4">
      <c r="A105" s="6">
        <v>18</v>
      </c>
      <c r="B105" s="6" t="s">
        <v>103</v>
      </c>
      <c r="C105" s="7" t="s">
        <v>78</v>
      </c>
      <c r="D105" s="2">
        <v>38.1</v>
      </c>
    </row>
    <row r="106" spans="1:3">
      <c r="A106" s="9"/>
      <c r="B106" s="9"/>
      <c r="C106" s="7" t="s">
        <v>79</v>
      </c>
    </row>
    <row r="107" spans="1:3">
      <c r="A107" s="9"/>
      <c r="B107" s="9"/>
      <c r="C107" s="7" t="s">
        <v>80</v>
      </c>
    </row>
    <row r="108" spans="1:3">
      <c r="A108" s="9"/>
      <c r="B108" s="9"/>
      <c r="C108" s="7" t="s">
        <v>81</v>
      </c>
    </row>
    <row r="109" s="1" customFormat="1" spans="1:71">
      <c r="A109" s="9"/>
      <c r="B109" s="9"/>
      <c r="C109" s="13" t="s">
        <v>82</v>
      </c>
      <c r="AK109" s="1">
        <v>0.73</v>
      </c>
      <c r="AL109" s="1">
        <v>0.15</v>
      </c>
      <c r="AM109" s="1">
        <v>29.34</v>
      </c>
      <c r="AN109" s="1">
        <v>3.7</v>
      </c>
      <c r="AO109" s="1">
        <v>2.46</v>
      </c>
      <c r="AP109" s="1">
        <v>9.97</v>
      </c>
      <c r="AQ109" s="1">
        <v>1</v>
      </c>
      <c r="AR109" s="1">
        <v>110</v>
      </c>
      <c r="AS109" s="1">
        <v>112</v>
      </c>
      <c r="AT109" s="1">
        <v>66</v>
      </c>
      <c r="AU109" s="1">
        <v>213</v>
      </c>
      <c r="AV109" s="1">
        <v>85</v>
      </c>
      <c r="AW109" s="1">
        <v>-1</v>
      </c>
      <c r="AX109" s="1">
        <v>27</v>
      </c>
      <c r="AY109" s="1">
        <v>101</v>
      </c>
      <c r="AZ109" s="1">
        <v>2713</v>
      </c>
      <c r="BA109" s="1">
        <v>-2553</v>
      </c>
      <c r="BB109" s="1">
        <v>68</v>
      </c>
      <c r="BC109" s="1">
        <v>7</v>
      </c>
      <c r="BD109" s="1">
        <v>107</v>
      </c>
      <c r="BE109" s="1">
        <v>94</v>
      </c>
      <c r="BF109" s="1">
        <v>99</v>
      </c>
      <c r="BG109" s="1">
        <v>97</v>
      </c>
      <c r="BH109" s="1">
        <v>13</v>
      </c>
      <c r="BI109" s="1">
        <v>1917</v>
      </c>
      <c r="BJ109" s="1">
        <v>12</v>
      </c>
      <c r="BK109" s="1">
        <v>367</v>
      </c>
      <c r="BL109" s="1">
        <v>8</v>
      </c>
      <c r="BM109" s="1">
        <v>24746</v>
      </c>
      <c r="BN109" s="1">
        <v>3</v>
      </c>
      <c r="BO109" s="1">
        <v>0</v>
      </c>
      <c r="BP109" s="1">
        <v>0</v>
      </c>
      <c r="BQ109" s="1">
        <v>0</v>
      </c>
      <c r="BR109" s="1">
        <v>166</v>
      </c>
      <c r="BS109" s="1">
        <v>147</v>
      </c>
    </row>
    <row r="110" spans="1:37">
      <c r="A110" s="11"/>
      <c r="B110" s="11"/>
      <c r="C110" s="12" t="s">
        <v>83</v>
      </c>
      <c r="D110" s="2">
        <v>35.8</v>
      </c>
      <c r="AK110" s="30" t="s">
        <v>99</v>
      </c>
    </row>
    <row r="111" spans="1:3">
      <c r="A111" s="6">
        <v>19</v>
      </c>
      <c r="B111" s="6" t="s">
        <v>104</v>
      </c>
      <c r="C111" s="7" t="s">
        <v>78</v>
      </c>
    </row>
    <row r="112" spans="1:3">
      <c r="A112" s="9"/>
      <c r="B112" s="9"/>
      <c r="C112" s="7" t="s">
        <v>79</v>
      </c>
    </row>
    <row r="113" spans="1:3">
      <c r="A113" s="9"/>
      <c r="B113" s="9"/>
      <c r="C113" s="7" t="s">
        <v>80</v>
      </c>
    </row>
    <row r="114" spans="1:3">
      <c r="A114" s="9"/>
      <c r="B114" s="9"/>
      <c r="C114" s="7" t="s">
        <v>81</v>
      </c>
    </row>
    <row r="115" s="1" customFormat="1" spans="1:71">
      <c r="A115" s="9"/>
      <c r="B115" s="9"/>
      <c r="C115" s="13" t="s">
        <v>82</v>
      </c>
      <c r="AK115" s="1">
        <v>4.53</v>
      </c>
      <c r="AL115" s="1">
        <v>0.35</v>
      </c>
      <c r="AM115" s="1">
        <v>43.7</v>
      </c>
      <c r="AN115" s="1">
        <v>107.6</v>
      </c>
      <c r="AO115" s="1">
        <v>5.38</v>
      </c>
      <c r="AP115" s="1">
        <v>72.58</v>
      </c>
      <c r="AQ115" s="1">
        <v>5</v>
      </c>
      <c r="AR115" s="1">
        <v>101</v>
      </c>
      <c r="AS115" s="1">
        <v>108</v>
      </c>
      <c r="AT115" s="1">
        <v>31</v>
      </c>
      <c r="AU115" s="1">
        <v>255</v>
      </c>
      <c r="AV115" s="1">
        <v>85</v>
      </c>
      <c r="AW115" s="1">
        <v>-1</v>
      </c>
      <c r="AX115" s="1">
        <v>62</v>
      </c>
      <c r="AY115" s="1">
        <v>115</v>
      </c>
      <c r="AZ115" s="1">
        <v>2248</v>
      </c>
      <c r="BA115" s="1">
        <v>-1570</v>
      </c>
      <c r="BB115" s="1">
        <v>39</v>
      </c>
      <c r="BC115" s="1">
        <v>14</v>
      </c>
      <c r="BD115" s="1">
        <v>73</v>
      </c>
      <c r="BE115" s="1">
        <v>54</v>
      </c>
      <c r="BF115" s="1">
        <v>71</v>
      </c>
      <c r="BG115" s="1">
        <v>55</v>
      </c>
      <c r="BH115" s="1">
        <v>19</v>
      </c>
      <c r="BI115" s="1">
        <v>2454</v>
      </c>
      <c r="BJ115" s="1">
        <v>26</v>
      </c>
      <c r="BK115" s="1">
        <v>672</v>
      </c>
      <c r="BL115" s="1">
        <v>5</v>
      </c>
      <c r="BM115" s="1">
        <v>4282</v>
      </c>
      <c r="BN115" s="1">
        <v>1</v>
      </c>
      <c r="BO115" s="1">
        <v>0</v>
      </c>
      <c r="BP115" s="1">
        <v>0</v>
      </c>
      <c r="BQ115" s="1">
        <v>0</v>
      </c>
      <c r="BR115" s="1">
        <v>884</v>
      </c>
      <c r="BS115" s="1">
        <v>129</v>
      </c>
    </row>
    <row r="116" spans="1:37">
      <c r="A116" s="11"/>
      <c r="B116" s="11"/>
      <c r="C116" s="12" t="s">
        <v>83</v>
      </c>
      <c r="AK116" s="30" t="s">
        <v>99</v>
      </c>
    </row>
    <row r="117" spans="1:4">
      <c r="A117" s="6">
        <v>20</v>
      </c>
      <c r="B117" s="6" t="s">
        <v>105</v>
      </c>
      <c r="C117" s="7" t="s">
        <v>78</v>
      </c>
      <c r="D117" s="2">
        <v>37.5</v>
      </c>
    </row>
    <row r="118" spans="1:4">
      <c r="A118" s="9"/>
      <c r="B118" s="9"/>
      <c r="C118" s="7" t="s">
        <v>79</v>
      </c>
      <c r="D118" s="2">
        <v>37.5</v>
      </c>
    </row>
    <row r="119" spans="1:4">
      <c r="A119" s="9"/>
      <c r="B119" s="9"/>
      <c r="C119" s="7" t="s">
        <v>80</v>
      </c>
      <c r="D119" s="2">
        <v>37.5</v>
      </c>
    </row>
    <row r="120" spans="1:4">
      <c r="A120" s="9"/>
      <c r="B120" s="9"/>
      <c r="C120" s="7" t="s">
        <v>81</v>
      </c>
      <c r="D120" s="2">
        <v>37.5</v>
      </c>
    </row>
    <row r="121" s="1" customFormat="1" spans="1:71">
      <c r="A121" s="9"/>
      <c r="B121" s="9"/>
      <c r="C121" s="13" t="s">
        <v>82</v>
      </c>
      <c r="D121" s="2">
        <v>37.5</v>
      </c>
      <c r="AK121" s="1">
        <v>3.01</v>
      </c>
      <c r="AL121" s="1">
        <v>1.53</v>
      </c>
      <c r="AM121" s="1">
        <v>1.83</v>
      </c>
      <c r="AN121" s="1">
        <v>4.77</v>
      </c>
      <c r="AO121" s="1">
        <v>3.93</v>
      </c>
      <c r="AP121" s="1">
        <v>109</v>
      </c>
      <c r="AQ121" s="1">
        <v>23</v>
      </c>
      <c r="AR121" s="1">
        <v>91</v>
      </c>
      <c r="AS121" s="1">
        <v>82</v>
      </c>
      <c r="AT121" s="1">
        <v>74</v>
      </c>
      <c r="AU121" s="1">
        <v>249</v>
      </c>
      <c r="AV121" s="1">
        <v>93</v>
      </c>
      <c r="AW121" s="1">
        <v>21</v>
      </c>
      <c r="AX121" s="1">
        <v>68</v>
      </c>
      <c r="AY121" s="1">
        <v>94</v>
      </c>
      <c r="AZ121" s="1">
        <v>1116</v>
      </c>
      <c r="BA121" s="1">
        <v>-1265</v>
      </c>
      <c r="BB121" s="1">
        <v>24</v>
      </c>
      <c r="BC121" s="1">
        <v>58</v>
      </c>
      <c r="BD121" s="1">
        <v>117</v>
      </c>
      <c r="BE121" s="1">
        <v>113</v>
      </c>
      <c r="BF121" s="1">
        <v>116</v>
      </c>
      <c r="BG121" s="1">
        <v>115</v>
      </c>
      <c r="BH121" s="1">
        <v>4</v>
      </c>
      <c r="BI121" s="1">
        <v>512</v>
      </c>
      <c r="BJ121" s="1">
        <v>4</v>
      </c>
      <c r="BK121" s="1">
        <v>195</v>
      </c>
      <c r="BL121" s="1">
        <v>22</v>
      </c>
      <c r="BM121" s="1">
        <v>3512</v>
      </c>
      <c r="BN121" s="1">
        <v>0</v>
      </c>
      <c r="BO121" s="1">
        <v>0</v>
      </c>
      <c r="BP121" s="1">
        <v>0</v>
      </c>
      <c r="BQ121" s="1">
        <v>0</v>
      </c>
      <c r="BR121" s="1">
        <v>355</v>
      </c>
      <c r="BS121" s="1">
        <v>124</v>
      </c>
    </row>
    <row r="122" spans="1:71">
      <c r="A122" s="11"/>
      <c r="B122" s="11"/>
      <c r="C122" s="12" t="s">
        <v>83</v>
      </c>
      <c r="D122" s="2">
        <v>32</v>
      </c>
      <c r="AK122" s="3">
        <v>21.34</v>
      </c>
      <c r="AL122" s="3">
        <v>0.3</v>
      </c>
      <c r="AM122" s="3">
        <v>23.54</v>
      </c>
      <c r="AN122" s="3">
        <v>83.4</v>
      </c>
      <c r="AO122" s="3">
        <v>20.5</v>
      </c>
      <c r="AP122" s="3">
        <v>3.93</v>
      </c>
      <c r="AQ122" s="2">
        <v>1</v>
      </c>
      <c r="AR122" s="2">
        <v>25</v>
      </c>
      <c r="AS122" s="2">
        <v>29</v>
      </c>
      <c r="AT122" s="2">
        <v>28</v>
      </c>
      <c r="AU122" s="2">
        <v>212</v>
      </c>
      <c r="AV122" s="2">
        <v>22</v>
      </c>
      <c r="AW122" s="2">
        <v>-1</v>
      </c>
      <c r="AX122" s="2">
        <v>22</v>
      </c>
      <c r="AY122" s="2">
        <v>77</v>
      </c>
      <c r="AZ122" s="2">
        <v>978</v>
      </c>
      <c r="BA122" s="2">
        <v>-650</v>
      </c>
      <c r="BB122" s="2">
        <v>63</v>
      </c>
      <c r="BC122" s="2">
        <v>11</v>
      </c>
      <c r="BD122" s="2">
        <v>110</v>
      </c>
      <c r="BE122" s="2">
        <v>106</v>
      </c>
      <c r="BF122" s="2">
        <v>109</v>
      </c>
      <c r="BG122" s="2">
        <v>107</v>
      </c>
      <c r="BH122" s="2">
        <v>4</v>
      </c>
      <c r="BI122" s="2">
        <v>684</v>
      </c>
      <c r="BJ122" s="2">
        <v>3</v>
      </c>
      <c r="BK122" s="2">
        <v>64</v>
      </c>
      <c r="BL122" s="2">
        <v>7</v>
      </c>
      <c r="BM122" s="2">
        <v>114</v>
      </c>
      <c r="BN122" s="2">
        <v>0</v>
      </c>
      <c r="BO122" s="2">
        <v>0</v>
      </c>
      <c r="BP122" s="2">
        <v>0</v>
      </c>
      <c r="BQ122" s="2">
        <v>0</v>
      </c>
      <c r="BR122" s="2">
        <v>64</v>
      </c>
      <c r="BS122" s="2">
        <v>185</v>
      </c>
    </row>
  </sheetData>
  <mergeCells count="46">
    <mergeCell ref="F1:Q1"/>
    <mergeCell ref="R1:AC1"/>
    <mergeCell ref="AD1:AF1"/>
    <mergeCell ref="AG1:AJ1"/>
    <mergeCell ref="AK1:BT1"/>
    <mergeCell ref="A3:A8"/>
    <mergeCell ref="A9:A14"/>
    <mergeCell ref="A15:A20"/>
    <mergeCell ref="A21:A26"/>
    <mergeCell ref="A27:A32"/>
    <mergeCell ref="A33:A38"/>
    <mergeCell ref="A39:A44"/>
    <mergeCell ref="A45:A50"/>
    <mergeCell ref="A51:A56"/>
    <mergeCell ref="A57:A62"/>
    <mergeCell ref="A63:A68"/>
    <mergeCell ref="A69:A74"/>
    <mergeCell ref="A75:A80"/>
    <mergeCell ref="A81:A86"/>
    <mergeCell ref="A87:A92"/>
    <mergeCell ref="A93:A98"/>
    <mergeCell ref="A99:A104"/>
    <mergeCell ref="A105:A110"/>
    <mergeCell ref="A111:A116"/>
    <mergeCell ref="A117:A122"/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AK85:AQ8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xlm</dc:creator>
  <cp:lastModifiedBy>初玖</cp:lastModifiedBy>
  <dcterms:created xsi:type="dcterms:W3CDTF">2015-06-05T18:17:00Z</dcterms:created>
  <dcterms:modified xsi:type="dcterms:W3CDTF">2025-06-23T17:05:20Z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EC8E3D2B82DB4EF5900C698A8154CED5_12</vt:lpwstr>
  </property>
  <property fmtid="{D5CDD505-2E9C-101B-9397-08002B2CF9AE}" pid="3" name="KSOProductBuildVer">
    <vt:lpwstr>2052-12.1.0.21541</vt:lpwstr>
  </property>
</Properties>
</file>