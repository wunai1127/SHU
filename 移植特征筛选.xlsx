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<sst xmlns="http://schemas.openxmlformats.org/spreadsheetml/2006/main" count="125" uniqueCount="55">
  <si>
    <t>pig weight (kg)</t>
  </si>
  <si>
    <t>Heart weight (g)</t>
  </si>
  <si>
    <t>pHA</t>
  </si>
  <si>
    <t>pO2A</t>
  </si>
  <si>
    <t>Na+A</t>
  </si>
  <si>
    <t>K+A</t>
  </si>
  <si>
    <t>Ca2+A</t>
  </si>
  <si>
    <t>Cl-A</t>
  </si>
  <si>
    <t>GluA</t>
  </si>
  <si>
    <t>LacA</t>
  </si>
  <si>
    <t>tHbA</t>
  </si>
  <si>
    <t>HCO3-actA</t>
  </si>
  <si>
    <t>SaO2</t>
  </si>
  <si>
    <t>HctA</t>
  </si>
  <si>
    <t>pHV</t>
  </si>
  <si>
    <t>pO2V</t>
  </si>
  <si>
    <t>Na+V</t>
  </si>
  <si>
    <t>K+V</t>
  </si>
  <si>
    <t>Ca2+V</t>
  </si>
  <si>
    <t>Cl-V</t>
  </si>
  <si>
    <t>GluV</t>
  </si>
  <si>
    <t>LacV</t>
  </si>
  <si>
    <t>tHbV</t>
  </si>
  <si>
    <t>HCO3-actV</t>
  </si>
  <si>
    <t>SvO2</t>
  </si>
  <si>
    <t>HctV</t>
  </si>
  <si>
    <t>MAP (mmHg)</t>
  </si>
  <si>
    <t>AoF (L/min)</t>
  </si>
  <si>
    <t>CVR</t>
  </si>
  <si>
    <t xml:space="preserve">MVO2 </t>
  </si>
  <si>
    <t>LacDelta</t>
  </si>
  <si>
    <t>CaO2 (mL/100mL)</t>
  </si>
  <si>
    <t>CvO2 (mL/100mL)</t>
  </si>
  <si>
    <t>Success wean</t>
  </si>
  <si>
    <t>BE(B)A</t>
  </si>
  <si>
    <t>HTX 36</t>
  </si>
  <si>
    <t xml:space="preserve">30 min </t>
  </si>
  <si>
    <t xml:space="preserve">1 hour </t>
  </si>
  <si>
    <t>2 hour</t>
  </si>
  <si>
    <t>3 hour</t>
  </si>
  <si>
    <t>4 hour</t>
  </si>
  <si>
    <t>HTX 35</t>
  </si>
  <si>
    <t>HTX 34</t>
  </si>
  <si>
    <t>HTX 33</t>
  </si>
  <si>
    <t>HTX 32</t>
  </si>
  <si>
    <t>HTX 31</t>
  </si>
  <si>
    <t>HTX 30</t>
  </si>
  <si>
    <t>HTX 28</t>
  </si>
  <si>
    <t>HTX 38</t>
  </si>
  <si>
    <t>HTX 39</t>
  </si>
  <si>
    <t>HTX 40</t>
  </si>
  <si>
    <t>HTX 41</t>
  </si>
  <si>
    <t>HTX 27</t>
  </si>
  <si>
    <t>HTX 26</t>
  </si>
  <si>
    <t>HTX 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</si>
</sst>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505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0" borderId="1" xfId="0" applyFont="1" applyBorder="1"/>
    <xf numFmtId="0" fontId="2" fillId="0" borderId="1" xfId="0" applyFont="1" applyBorder="1" applyAlignment="1">
      <alignment horizontal="center"/>
    </xf>
    <xf numFmtId="0" fontId="0" fillId="6" borderId="1" xfId="0" applyFill="1" applyBorder="1"/>
    <xf numFmtId="0" fontId="2" fillId="0" borderId="1" xfId="0" applyFont="1" applyBorder="1"/>
    <xf numFmtId="0" fontId="3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6"/>
  <sheetViews>
    <sheetView tabSelected="1" zoomScale="85" zoomScaleNormal="85" workbookViewId="0">
      <pane xSplit="3" ySplit="1" topLeftCell="D50" activePane="bottomRight" state="frozen"/>
      <selection/>
      <selection pane="topRight"/>
      <selection pane="bottomLeft"/>
      <selection pane="bottomRight" activeCell="A79" sqref="A79"/>
    </sheetView>
  </sheetViews>
  <sheetFormatPr defaultColWidth="9" defaultRowHeight="13.8"/>
  <cols>
    <col min="1" max="4" width="8.66666666666667" style="2"/>
    <col min="5" max="5" width="11.25" style="2" customWidth="1"/>
    <col min="6" max="13" width="8.66666666666667" style="2"/>
    <col min="14" max="15" width="10.25" style="2" customWidth="1"/>
    <col min="16" max="31" width="8.66666666666667" style="2"/>
    <col min="32" max="32" width="21.3333333333333" style="2" customWidth="1"/>
    <col min="33" max="33" width="14.1111111111111" style="2"/>
    <col min="34" max="34" width="8.66666666666667" style="2"/>
    <col min="35" max="36" width="9.66666666666667" style="2"/>
    <col min="37" max="37" width="13.9814814814815" style="2" customWidth="1"/>
    <col min="38" max="38" width="14.1111111111111" style="2"/>
    <col min="39" max="16349" width="8.66666666666667" style="2"/>
    <col min="16350" max="16384" width="9" style="2"/>
  </cols>
  <sheetData>
    <row r="1" spans="4:38">
      <c r="D1" s="2" t="s">
        <v>0</v>
      </c>
      <c r="E1" s="2" t="s">
        <v>1</v>
      </c>
      <c r="F1" s="3" t="s">
        <v>2</v>
      </c>
      <c r="G1" s="3" t="s">
        <v>3</v>
      </c>
      <c r="H1" s="3" t="s">
        <v>4</v>
      </c>
      <c r="I1" s="10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10" t="s">
        <v>11</v>
      </c>
      <c r="P1" s="3" t="s">
        <v>12</v>
      </c>
      <c r="Q1" s="3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2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  <c r="AD1" s="13" t="s">
        <v>26</v>
      </c>
      <c r="AE1" s="13" t="s">
        <v>27</v>
      </c>
      <c r="AF1" s="14" t="s">
        <v>28</v>
      </c>
      <c r="AG1" s="14" t="s">
        <v>29</v>
      </c>
      <c r="AH1" s="16" t="s">
        <v>30</v>
      </c>
      <c r="AI1" s="17" t="s">
        <v>31</v>
      </c>
      <c r="AJ1" s="17" t="s">
        <v>32</v>
      </c>
      <c r="AK1" s="2" t="s">
        <v>33</v>
      </c>
      <c r="AL1" s="16" t="s">
        <v>34</v>
      </c>
    </row>
    <row r="2" spans="1:38">
      <c r="A2" s="4">
        <v>1</v>
      </c>
      <c r="B2" s="4" t="s">
        <v>35</v>
      </c>
      <c r="C2" s="5" t="s">
        <v>36</v>
      </c>
      <c r="D2" s="2">
        <v>44.7</v>
      </c>
      <c r="E2" s="2">
        <v>294</v>
      </c>
      <c r="F2" s="6">
        <v>7.271</v>
      </c>
      <c r="G2" s="6">
        <v>239.1</v>
      </c>
      <c r="H2" s="6">
        <v>152.1</v>
      </c>
      <c r="I2" s="6">
        <v>3.94</v>
      </c>
      <c r="J2" s="6">
        <v>1.14</v>
      </c>
      <c r="K2" s="6">
        <v>108</v>
      </c>
      <c r="L2" s="6">
        <v>8.5</v>
      </c>
      <c r="M2" s="6">
        <v>3.94</v>
      </c>
      <c r="N2" s="6">
        <v>49</v>
      </c>
      <c r="O2" s="6">
        <v>21.7</v>
      </c>
      <c r="P2" s="6">
        <v>99.4</v>
      </c>
      <c r="Q2" s="6">
        <v>14</v>
      </c>
      <c r="R2" s="6">
        <v>7.281</v>
      </c>
      <c r="S2" s="6">
        <v>55.9</v>
      </c>
      <c r="T2" s="6">
        <v>136.9</v>
      </c>
      <c r="U2" s="6">
        <v>3.76</v>
      </c>
      <c r="V2" s="6">
        <v>1.2</v>
      </c>
      <c r="W2" s="6">
        <v>107</v>
      </c>
      <c r="X2" s="6">
        <v>8.6</v>
      </c>
      <c r="Y2" s="6">
        <v>4.16</v>
      </c>
      <c r="Z2" s="6">
        <v>49</v>
      </c>
      <c r="AA2" s="6">
        <v>24.1</v>
      </c>
      <c r="AB2" s="6">
        <v>84.9</v>
      </c>
      <c r="AC2" s="6">
        <v>14</v>
      </c>
      <c r="AD2" s="6">
        <v>45</v>
      </c>
      <c r="AE2" s="2">
        <v>0.65845</v>
      </c>
      <c r="AF2" s="2">
        <f t="shared" ref="AF2:AF36" si="0">AD2/AE2/1000/E2*100</f>
        <v>0.0232456867628212</v>
      </c>
      <c r="AG2" s="2">
        <f>AE2*1000*((1.34*N2/10*P2/100+0.0031*G2)-(1.34*Z2/10*AB2/100+0.0031*S2))/(E2/100)/100</f>
        <v>3.4042088962585</v>
      </c>
      <c r="AH2" s="2">
        <f>Y2-M2</f>
        <v>0.22</v>
      </c>
      <c r="AI2" s="2">
        <f>(1.34*N2/10*P2/100+0.0031*G2)</f>
        <v>7.267814</v>
      </c>
      <c r="AJ2" s="2">
        <f t="shared" ref="AJ2:AJ6" si="1">(1.34*Z2/10*AB2/100+0.0031*S2)</f>
        <v>5.747824</v>
      </c>
      <c r="AK2" s="2">
        <v>0</v>
      </c>
      <c r="AL2" s="2">
        <f t="shared" ref="AL2:AL6" si="2">0.9287*(O2-24.4+14.83*(F2-7.4))</f>
        <v>-4.28415810900001</v>
      </c>
    </row>
    <row r="3" spans="1:38">
      <c r="A3" s="7"/>
      <c r="B3" s="7"/>
      <c r="C3" s="5" t="s">
        <v>37</v>
      </c>
      <c r="D3" s="2">
        <v>44.7</v>
      </c>
      <c r="E3" s="2">
        <v>294</v>
      </c>
      <c r="F3" s="6">
        <v>7.337</v>
      </c>
      <c r="G3" s="6">
        <v>231.9</v>
      </c>
      <c r="H3" s="6">
        <v>135</v>
      </c>
      <c r="I3" s="6">
        <v>3.53</v>
      </c>
      <c r="J3" s="6">
        <v>1.32</v>
      </c>
      <c r="K3" s="6">
        <v>107</v>
      </c>
      <c r="L3" s="6">
        <v>8.9</v>
      </c>
      <c r="M3" s="6">
        <v>4.94</v>
      </c>
      <c r="N3" s="6">
        <v>51</v>
      </c>
      <c r="O3" s="6">
        <v>22.2</v>
      </c>
      <c r="P3" s="6">
        <v>99.5</v>
      </c>
      <c r="Q3" s="6">
        <v>15</v>
      </c>
      <c r="R3" s="6">
        <v>7.324</v>
      </c>
      <c r="S3" s="6">
        <v>59.2</v>
      </c>
      <c r="T3" s="6">
        <v>134.2</v>
      </c>
      <c r="U3" s="6">
        <v>3.52</v>
      </c>
      <c r="V3" s="6">
        <v>1.33</v>
      </c>
      <c r="W3" s="6">
        <v>107</v>
      </c>
      <c r="X3" s="6">
        <v>8.7</v>
      </c>
      <c r="Y3" s="6">
        <v>4.55</v>
      </c>
      <c r="Z3" s="6">
        <v>50</v>
      </c>
      <c r="AA3" s="6">
        <v>21.7</v>
      </c>
      <c r="AB3" s="6">
        <v>88.7</v>
      </c>
      <c r="AC3" s="6">
        <v>15</v>
      </c>
      <c r="AD3" s="6">
        <v>51</v>
      </c>
      <c r="AE3" s="2">
        <v>0.736</v>
      </c>
      <c r="AF3" s="2">
        <f t="shared" si="0"/>
        <v>0.0235692102928128</v>
      </c>
      <c r="AG3" s="2">
        <f t="shared" ref="AG3:AG6" si="3">AE3*1000*((1.34*Z3/10*P3/100+0.0031*G3)-(1.34*N3/10*AB3/100+0.0031*S3))/(E3/100)/100</f>
        <v>2.85415793197279</v>
      </c>
      <c r="AH3" s="2">
        <f t="shared" ref="AH3:AH36" si="4">Y3-M3</f>
        <v>-0.390000000000001</v>
      </c>
      <c r="AI3" s="2">
        <f t="shared" ref="AI2:AI6" si="5">(1.34*N3/10*P3/100+0.0031*G3)</f>
        <v>7.51872</v>
      </c>
      <c r="AJ3" s="2">
        <f t="shared" si="1"/>
        <v>6.12642</v>
      </c>
      <c r="AK3" s="2">
        <v>0</v>
      </c>
      <c r="AL3" s="2">
        <f t="shared" si="2"/>
        <v>-2.91081512300001</v>
      </c>
    </row>
    <row r="4" spans="1:38">
      <c r="A4" s="7"/>
      <c r="B4" s="7"/>
      <c r="C4" s="5" t="s">
        <v>38</v>
      </c>
      <c r="D4" s="2">
        <v>44.7</v>
      </c>
      <c r="E4" s="2">
        <v>294</v>
      </c>
      <c r="F4" s="6">
        <v>7.465</v>
      </c>
      <c r="G4" s="6">
        <v>238.6</v>
      </c>
      <c r="H4" s="6">
        <v>132.5</v>
      </c>
      <c r="I4" s="6">
        <v>3.53</v>
      </c>
      <c r="J4" s="6">
        <v>1.27</v>
      </c>
      <c r="K4" s="6">
        <v>106</v>
      </c>
      <c r="L4" s="6">
        <v>10.9</v>
      </c>
      <c r="M4" s="6">
        <v>4.12</v>
      </c>
      <c r="N4" s="6">
        <v>49</v>
      </c>
      <c r="O4" s="6">
        <v>19.1</v>
      </c>
      <c r="P4" s="6">
        <v>99.6</v>
      </c>
      <c r="Q4" s="6">
        <v>14</v>
      </c>
      <c r="R4" s="6">
        <v>7.469</v>
      </c>
      <c r="S4" s="6">
        <v>67.2</v>
      </c>
      <c r="T4" s="6">
        <v>132.4</v>
      </c>
      <c r="U4" s="6">
        <v>3.53</v>
      </c>
      <c r="V4" s="6">
        <v>1.28</v>
      </c>
      <c r="W4" s="6">
        <v>105</v>
      </c>
      <c r="X4" s="6">
        <v>10.8</v>
      </c>
      <c r="Y4" s="6">
        <v>3.79</v>
      </c>
      <c r="Z4" s="6">
        <v>49</v>
      </c>
      <c r="AA4" s="6">
        <v>19.2</v>
      </c>
      <c r="AB4" s="6">
        <v>94.8</v>
      </c>
      <c r="AC4" s="6">
        <v>14</v>
      </c>
      <c r="AD4" s="6">
        <v>51</v>
      </c>
      <c r="AE4" s="2">
        <v>0.782</v>
      </c>
      <c r="AF4" s="2">
        <f t="shared" si="0"/>
        <v>0.0221827861579414</v>
      </c>
      <c r="AG4" s="2">
        <f t="shared" si="3"/>
        <v>2.25159610884354</v>
      </c>
      <c r="AH4" s="2">
        <f t="shared" si="4"/>
        <v>-0.33</v>
      </c>
      <c r="AI4" s="2">
        <f t="shared" si="5"/>
        <v>7.279396</v>
      </c>
      <c r="AJ4" s="2">
        <f t="shared" si="1"/>
        <v>6.432888</v>
      </c>
      <c r="AK4" s="2">
        <v>0</v>
      </c>
      <c r="AL4" s="2">
        <f t="shared" si="2"/>
        <v>-4.026889635</v>
      </c>
    </row>
    <row r="5" spans="1:38">
      <c r="A5" s="7"/>
      <c r="B5" s="7"/>
      <c r="C5" s="5" t="s">
        <v>39</v>
      </c>
      <c r="D5" s="2">
        <v>44.7</v>
      </c>
      <c r="E5" s="2">
        <v>294</v>
      </c>
      <c r="F5" s="6">
        <v>7.533</v>
      </c>
      <c r="G5" s="6">
        <v>255.7</v>
      </c>
      <c r="H5" s="6">
        <v>131.5</v>
      </c>
      <c r="I5" s="6">
        <v>3.62</v>
      </c>
      <c r="J5" s="6">
        <v>1.23</v>
      </c>
      <c r="K5" s="6">
        <v>106</v>
      </c>
      <c r="L5" s="6">
        <v>11.9</v>
      </c>
      <c r="M5" s="6">
        <v>3.47</v>
      </c>
      <c r="N5" s="6">
        <v>49</v>
      </c>
      <c r="O5" s="6">
        <v>21.6</v>
      </c>
      <c r="P5" s="6">
        <v>99.7</v>
      </c>
      <c r="Q5" s="6">
        <v>14</v>
      </c>
      <c r="R5" s="6">
        <v>7.514</v>
      </c>
      <c r="S5" s="6">
        <v>52.1</v>
      </c>
      <c r="T5" s="6">
        <v>129.9</v>
      </c>
      <c r="U5" s="6">
        <v>3.68</v>
      </c>
      <c r="V5" s="6">
        <v>1.23</v>
      </c>
      <c r="W5" s="6">
        <v>105</v>
      </c>
      <c r="X5" s="6">
        <v>12.3</v>
      </c>
      <c r="Y5" s="6">
        <v>2.8</v>
      </c>
      <c r="Z5" s="6">
        <v>48</v>
      </c>
      <c r="AA5" s="6">
        <v>20.5</v>
      </c>
      <c r="AB5" s="6">
        <v>90.9</v>
      </c>
      <c r="AC5" s="6">
        <v>14</v>
      </c>
      <c r="AD5" s="6">
        <v>51</v>
      </c>
      <c r="AE5" s="2">
        <v>0.595</v>
      </c>
      <c r="AF5" s="2">
        <f t="shared" si="0"/>
        <v>0.0291545189504373</v>
      </c>
      <c r="AG5" s="2">
        <f t="shared" si="3"/>
        <v>2.17634404761905</v>
      </c>
      <c r="AH5" s="2">
        <f t="shared" si="4"/>
        <v>-0.67</v>
      </c>
      <c r="AI5" s="2">
        <f t="shared" si="5"/>
        <v>7.338972</v>
      </c>
      <c r="AJ5" s="2">
        <f t="shared" si="1"/>
        <v>6.008198</v>
      </c>
      <c r="AK5" s="2">
        <v>0</v>
      </c>
      <c r="AL5" s="2">
        <f t="shared" si="2"/>
        <v>-0.768601406999997</v>
      </c>
    </row>
    <row r="6" spans="1:38">
      <c r="A6" s="7"/>
      <c r="B6" s="7"/>
      <c r="C6" s="8" t="s">
        <v>40</v>
      </c>
      <c r="D6" s="2">
        <v>44.7</v>
      </c>
      <c r="E6" s="2">
        <v>294</v>
      </c>
      <c r="F6" s="6">
        <v>7.368</v>
      </c>
      <c r="G6" s="6">
        <v>240.4</v>
      </c>
      <c r="H6" s="6">
        <v>122.5</v>
      </c>
      <c r="I6" s="6">
        <v>4.39</v>
      </c>
      <c r="J6" s="6">
        <v>1.15</v>
      </c>
      <c r="K6" s="6">
        <v>100</v>
      </c>
      <c r="L6" s="6">
        <v>15.5</v>
      </c>
      <c r="M6" s="6">
        <v>2.21</v>
      </c>
      <c r="N6" s="6">
        <v>46</v>
      </c>
      <c r="O6" s="6">
        <v>19.4</v>
      </c>
      <c r="P6" s="6">
        <v>99.5</v>
      </c>
      <c r="Q6" s="6">
        <v>14</v>
      </c>
      <c r="R6" s="6">
        <v>7.367</v>
      </c>
      <c r="S6" s="6">
        <v>106.4</v>
      </c>
      <c r="T6" s="6">
        <v>122.5</v>
      </c>
      <c r="U6" s="6">
        <v>4.43</v>
      </c>
      <c r="V6" s="6">
        <v>1.16</v>
      </c>
      <c r="W6" s="6">
        <v>100</v>
      </c>
      <c r="X6" s="6">
        <v>15.1</v>
      </c>
      <c r="Y6" s="6">
        <v>2.02</v>
      </c>
      <c r="Z6" s="6">
        <v>44</v>
      </c>
      <c r="AA6" s="6">
        <v>18.8</v>
      </c>
      <c r="AB6" s="6">
        <v>97.8</v>
      </c>
      <c r="AC6" s="6">
        <v>13</v>
      </c>
      <c r="AD6" s="6">
        <v>58</v>
      </c>
      <c r="AE6" s="2">
        <v>1.128</v>
      </c>
      <c r="AF6" s="2">
        <f t="shared" si="0"/>
        <v>0.01748926520963</v>
      </c>
      <c r="AG6" s="2">
        <f t="shared" si="3"/>
        <v>0.972719673469388</v>
      </c>
      <c r="AH6" s="2">
        <f t="shared" si="4"/>
        <v>-0.19</v>
      </c>
      <c r="AI6" s="2">
        <f t="shared" si="5"/>
        <v>6.87842</v>
      </c>
      <c r="AJ6" s="2">
        <f t="shared" si="1"/>
        <v>6.096128</v>
      </c>
      <c r="AK6" s="2">
        <v>0</v>
      </c>
      <c r="AL6" s="2">
        <f t="shared" si="2"/>
        <v>-5.084223872</v>
      </c>
    </row>
    <row r="7" spans="1:38">
      <c r="A7" s="4">
        <v>2</v>
      </c>
      <c r="B7" s="4" t="s">
        <v>41</v>
      </c>
      <c r="C7" s="5" t="s">
        <v>36</v>
      </c>
      <c r="D7" s="2">
        <v>39.6</v>
      </c>
      <c r="E7" s="2">
        <v>223</v>
      </c>
      <c r="F7" s="6">
        <v>7.237</v>
      </c>
      <c r="G7" s="2">
        <v>237.8</v>
      </c>
      <c r="H7" s="2">
        <v>134.6</v>
      </c>
      <c r="I7" s="2">
        <v>4.12</v>
      </c>
      <c r="J7" s="2">
        <v>0.8</v>
      </c>
      <c r="K7" s="2">
        <v>108</v>
      </c>
      <c r="L7" s="2">
        <v>8.5</v>
      </c>
      <c r="M7" s="2">
        <v>3.8</v>
      </c>
      <c r="N7" s="2">
        <v>50</v>
      </c>
      <c r="O7" s="2">
        <v>21.8</v>
      </c>
      <c r="P7" s="2">
        <v>99.4</v>
      </c>
      <c r="Q7" s="2">
        <v>14</v>
      </c>
      <c r="R7" s="2">
        <v>7.214</v>
      </c>
      <c r="S7" s="2">
        <v>49.8</v>
      </c>
      <c r="T7" s="2">
        <v>133.2</v>
      </c>
      <c r="U7" s="2">
        <v>4.09</v>
      </c>
      <c r="V7" s="2">
        <v>0.81</v>
      </c>
      <c r="W7" s="2">
        <v>108</v>
      </c>
      <c r="X7" s="2">
        <v>8.4</v>
      </c>
      <c r="Y7" s="2">
        <v>3.53</v>
      </c>
      <c r="Z7" s="2">
        <v>50</v>
      </c>
      <c r="AA7" s="2">
        <v>21</v>
      </c>
      <c r="AB7" s="2">
        <v>76.8</v>
      </c>
      <c r="AC7" s="2">
        <v>15</v>
      </c>
      <c r="AD7" s="2">
        <v>40</v>
      </c>
      <c r="AE7" s="2">
        <v>0.511</v>
      </c>
      <c r="AF7" s="2">
        <f t="shared" si="0"/>
        <v>0.035102191254289</v>
      </c>
      <c r="AG7" s="2">
        <f t="shared" ref="AG7:AG11" si="6">AE7*1000*((1.34*N7/10*P7/100+0.0031*G7)-(1.34*Z7/10*AB7/100+0.0031*S7))/(E7/100)/100</f>
        <v>4.80523318385651</v>
      </c>
      <c r="AH7" s="2">
        <f t="shared" si="4"/>
        <v>-0.27</v>
      </c>
      <c r="AI7" s="2">
        <f t="shared" ref="AI7:AI11" si="7">(1.34*N7/10*P7/100+0.0031*G7)</f>
        <v>7.39698</v>
      </c>
      <c r="AJ7" s="2">
        <f t="shared" ref="AJ7:AJ11" si="8">(1.34*Z7/10*AB7/100+0.0031*S7)</f>
        <v>5.29998</v>
      </c>
      <c r="AK7" s="2">
        <v>1</v>
      </c>
      <c r="AL7" s="2">
        <f t="shared" ref="AL7:AL11" si="9">0.9287*(O7-24.4+14.83*(F7-7.4))</f>
        <v>-4.659557223</v>
      </c>
    </row>
    <row r="8" spans="1:38">
      <c r="A8" s="7"/>
      <c r="B8" s="7"/>
      <c r="C8" s="5" t="s">
        <v>37</v>
      </c>
      <c r="D8" s="2">
        <v>39.6</v>
      </c>
      <c r="E8" s="2">
        <v>223</v>
      </c>
      <c r="F8" s="6">
        <v>7.558</v>
      </c>
      <c r="G8" s="2">
        <v>229.5</v>
      </c>
      <c r="H8" s="2">
        <v>138.9</v>
      </c>
      <c r="I8" s="2">
        <v>3.33</v>
      </c>
      <c r="J8" s="2">
        <v>1.21</v>
      </c>
      <c r="K8" s="2">
        <v>110</v>
      </c>
      <c r="L8" s="2">
        <v>5.8</v>
      </c>
      <c r="M8" s="2">
        <v>1.01</v>
      </c>
      <c r="N8" s="2">
        <v>51</v>
      </c>
      <c r="O8" s="2">
        <v>26</v>
      </c>
      <c r="P8" s="2">
        <v>99.6</v>
      </c>
      <c r="Q8" s="2">
        <v>15</v>
      </c>
      <c r="R8" s="2">
        <v>7.514</v>
      </c>
      <c r="S8" s="2">
        <v>42.9</v>
      </c>
      <c r="T8" s="2">
        <v>139.3</v>
      </c>
      <c r="U8" s="2">
        <v>3.28</v>
      </c>
      <c r="V8" s="2">
        <v>1.21</v>
      </c>
      <c r="W8" s="2">
        <v>110</v>
      </c>
      <c r="X8" s="2">
        <v>5.6</v>
      </c>
      <c r="Y8" s="2">
        <v>1.03</v>
      </c>
      <c r="Z8" s="2">
        <v>51</v>
      </c>
      <c r="AA8" s="2">
        <v>26.1</v>
      </c>
      <c r="AB8" s="2">
        <v>84.3</v>
      </c>
      <c r="AC8" s="2">
        <v>15</v>
      </c>
      <c r="AD8" s="2">
        <v>41</v>
      </c>
      <c r="AE8" s="2">
        <v>0.583</v>
      </c>
      <c r="AF8" s="2">
        <f t="shared" si="0"/>
        <v>0.0315362782576591</v>
      </c>
      <c r="AG8" s="2">
        <f t="shared" si="6"/>
        <v>4.24586612556054</v>
      </c>
      <c r="AH8" s="2">
        <f t="shared" si="4"/>
        <v>0.02</v>
      </c>
      <c r="AI8" s="2">
        <f t="shared" si="7"/>
        <v>7.518114</v>
      </c>
      <c r="AJ8" s="2">
        <f t="shared" si="8"/>
        <v>5.894052</v>
      </c>
      <c r="AK8" s="2">
        <v>1</v>
      </c>
      <c r="AL8" s="2">
        <f t="shared" si="9"/>
        <v>3.66199411799999</v>
      </c>
    </row>
    <row r="9" spans="1:38">
      <c r="A9" s="7"/>
      <c r="B9" s="7"/>
      <c r="C9" s="5" t="s">
        <v>38</v>
      </c>
      <c r="D9" s="2">
        <v>39.6</v>
      </c>
      <c r="E9" s="2">
        <v>223</v>
      </c>
      <c r="F9" s="6">
        <v>7.338</v>
      </c>
      <c r="G9" s="2">
        <v>242.9</v>
      </c>
      <c r="H9" s="2">
        <v>134.5</v>
      </c>
      <c r="I9" s="2">
        <v>3.69</v>
      </c>
      <c r="J9" s="2">
        <v>1.28</v>
      </c>
      <c r="K9" s="2">
        <v>110</v>
      </c>
      <c r="L9" s="2">
        <v>9.7</v>
      </c>
      <c r="M9" s="2">
        <v>2.74</v>
      </c>
      <c r="N9" s="2">
        <v>52</v>
      </c>
      <c r="O9" s="2">
        <v>23.4</v>
      </c>
      <c r="P9" s="2">
        <v>99.5</v>
      </c>
      <c r="Q9" s="2">
        <v>15</v>
      </c>
      <c r="R9" s="2">
        <v>7.318</v>
      </c>
      <c r="S9" s="2">
        <v>49.8</v>
      </c>
      <c r="T9" s="2">
        <v>134.6</v>
      </c>
      <c r="U9" s="2">
        <v>3.69</v>
      </c>
      <c r="V9" s="2">
        <v>1.3</v>
      </c>
      <c r="W9" s="2">
        <v>109</v>
      </c>
      <c r="X9" s="2">
        <v>9.5</v>
      </c>
      <c r="Y9" s="2">
        <v>2.36</v>
      </c>
      <c r="Z9" s="2">
        <v>52</v>
      </c>
      <c r="AA9" s="2">
        <v>23.4</v>
      </c>
      <c r="AB9" s="2">
        <v>81.9</v>
      </c>
      <c r="AC9" s="2">
        <v>15</v>
      </c>
      <c r="AD9" s="2">
        <v>45</v>
      </c>
      <c r="AE9" s="2">
        <v>0.664</v>
      </c>
      <c r="AF9" s="2">
        <f t="shared" si="0"/>
        <v>0.0303906207790804</v>
      </c>
      <c r="AG9" s="2">
        <f t="shared" si="6"/>
        <v>5.43401521076233</v>
      </c>
      <c r="AH9" s="2">
        <f t="shared" si="4"/>
        <v>-0.38</v>
      </c>
      <c r="AI9" s="2">
        <f t="shared" si="7"/>
        <v>7.68615</v>
      </c>
      <c r="AJ9" s="2">
        <f t="shared" si="8"/>
        <v>5.861172</v>
      </c>
      <c r="AK9" s="2">
        <v>1</v>
      </c>
      <c r="AL9" s="2">
        <f t="shared" si="9"/>
        <v>-1.782602502</v>
      </c>
    </row>
    <row r="10" spans="1:38">
      <c r="A10" s="7"/>
      <c r="B10" s="7"/>
      <c r="C10" s="5" t="s">
        <v>39</v>
      </c>
      <c r="D10" s="2">
        <v>39.6</v>
      </c>
      <c r="E10" s="2">
        <v>223</v>
      </c>
      <c r="F10" s="6">
        <v>7.394</v>
      </c>
      <c r="G10" s="2">
        <v>242.8</v>
      </c>
      <c r="H10" s="2">
        <v>134.2</v>
      </c>
      <c r="I10" s="2">
        <v>3.8</v>
      </c>
      <c r="J10" s="2">
        <v>1.27</v>
      </c>
      <c r="K10" s="2">
        <v>109</v>
      </c>
      <c r="L10" s="2">
        <v>10.8</v>
      </c>
      <c r="M10" s="2">
        <v>1.5</v>
      </c>
      <c r="N10" s="2">
        <v>52</v>
      </c>
      <c r="O10" s="2">
        <v>22.9</v>
      </c>
      <c r="P10" s="2">
        <v>99.5</v>
      </c>
      <c r="Q10" s="2">
        <v>15</v>
      </c>
      <c r="R10" s="2">
        <v>7.379</v>
      </c>
      <c r="S10" s="2">
        <v>49.1</v>
      </c>
      <c r="T10" s="2">
        <v>134.1</v>
      </c>
      <c r="U10" s="2">
        <v>3.79</v>
      </c>
      <c r="V10" s="2">
        <v>1.28</v>
      </c>
      <c r="W10" s="2">
        <v>109</v>
      </c>
      <c r="X10" s="2">
        <v>10.9</v>
      </c>
      <c r="Y10" s="2">
        <v>1.37</v>
      </c>
      <c r="Z10" s="2">
        <v>50</v>
      </c>
      <c r="AA10" s="2">
        <v>23.4</v>
      </c>
      <c r="AB10" s="2">
        <v>84</v>
      </c>
      <c r="AC10" s="2">
        <v>15</v>
      </c>
      <c r="AD10" s="2">
        <v>41</v>
      </c>
      <c r="AE10" s="2">
        <v>0.504</v>
      </c>
      <c r="AF10" s="2">
        <f t="shared" si="0"/>
        <v>0.0364794647305858</v>
      </c>
      <c r="AG10" s="2">
        <f t="shared" si="6"/>
        <v>4.30689470852018</v>
      </c>
      <c r="AH10" s="2">
        <f t="shared" si="4"/>
        <v>-0.13</v>
      </c>
      <c r="AI10" s="2">
        <f t="shared" si="7"/>
        <v>7.68584</v>
      </c>
      <c r="AJ10" s="2">
        <f t="shared" si="8"/>
        <v>5.78021</v>
      </c>
      <c r="AK10" s="2">
        <v>1</v>
      </c>
      <c r="AL10" s="2">
        <f t="shared" si="9"/>
        <v>-1.475685726</v>
      </c>
    </row>
    <row r="11" spans="1:38">
      <c r="A11" s="7"/>
      <c r="B11" s="7"/>
      <c r="C11" s="8" t="s">
        <v>40</v>
      </c>
      <c r="D11" s="2">
        <v>39.6</v>
      </c>
      <c r="E11" s="2">
        <v>223</v>
      </c>
      <c r="F11" s="6">
        <v>7.372</v>
      </c>
      <c r="G11" s="2">
        <v>233.8</v>
      </c>
      <c r="H11" s="2">
        <v>133</v>
      </c>
      <c r="I11" s="2">
        <v>4.38</v>
      </c>
      <c r="J11" s="2">
        <v>1.17</v>
      </c>
      <c r="K11" s="2">
        <v>109</v>
      </c>
      <c r="L11" s="2">
        <v>12.6</v>
      </c>
      <c r="M11" s="2">
        <v>0.63</v>
      </c>
      <c r="N11" s="2">
        <v>52</v>
      </c>
      <c r="O11" s="2">
        <v>23.6</v>
      </c>
      <c r="P11" s="2">
        <v>99.5</v>
      </c>
      <c r="Q11" s="2">
        <v>15</v>
      </c>
      <c r="R11" s="2">
        <v>7.345</v>
      </c>
      <c r="S11" s="2">
        <v>51.7</v>
      </c>
      <c r="T11" s="2">
        <v>132.8</v>
      </c>
      <c r="U11" s="2">
        <v>4.33</v>
      </c>
      <c r="V11" s="2">
        <v>1.19</v>
      </c>
      <c r="W11" s="2">
        <v>109</v>
      </c>
      <c r="X11" s="2">
        <v>12</v>
      </c>
      <c r="Y11" s="2">
        <v>0.57</v>
      </c>
      <c r="Z11" s="2">
        <v>52</v>
      </c>
      <c r="AA11" s="2">
        <v>22.6</v>
      </c>
      <c r="AB11" s="2">
        <v>84.7</v>
      </c>
      <c r="AC11" s="2">
        <v>15</v>
      </c>
      <c r="AD11" s="15">
        <v>46</v>
      </c>
      <c r="AE11" s="15">
        <v>0.756</v>
      </c>
      <c r="AF11" s="2">
        <f t="shared" si="0"/>
        <v>0.0272854532944219</v>
      </c>
      <c r="AG11" s="2">
        <f t="shared" si="6"/>
        <v>5.40988853811659</v>
      </c>
      <c r="AH11" s="2">
        <f t="shared" si="4"/>
        <v>-0.0600000000000001</v>
      </c>
      <c r="AI11" s="2">
        <f t="shared" si="7"/>
        <v>7.65794</v>
      </c>
      <c r="AJ11" s="2">
        <f t="shared" si="8"/>
        <v>6.062166</v>
      </c>
      <c r="AK11" s="2">
        <v>1</v>
      </c>
      <c r="AL11" s="2">
        <f t="shared" si="9"/>
        <v>-1.128593388</v>
      </c>
    </row>
    <row r="12" spans="1:38">
      <c r="A12" s="4">
        <v>3</v>
      </c>
      <c r="B12" s="4" t="s">
        <v>42</v>
      </c>
      <c r="C12" s="5" t="s">
        <v>36</v>
      </c>
      <c r="D12" s="2">
        <v>36.3</v>
      </c>
      <c r="E12" s="2">
        <v>186</v>
      </c>
      <c r="AD12" s="2">
        <v>35</v>
      </c>
      <c r="AE12" s="2">
        <v>0.306</v>
      </c>
      <c r="AF12" s="2">
        <f t="shared" si="0"/>
        <v>0.0614941317028604</v>
      </c>
      <c r="AG12" s="2">
        <f t="shared" ref="AG12:AG16" si="10">AE12*1000*((1.34*N12/10*P12/100+0.0031*G12)-(1.34*Z12/10*AB12/100+0.0031*S12))/(E12/100)/100</f>
        <v>0</v>
      </c>
      <c r="AH12" s="2">
        <f t="shared" si="4"/>
        <v>0</v>
      </c>
      <c r="AI12" s="2">
        <f t="shared" ref="AI12:AI16" si="11">(1.34*N12/10*P12/100+0.0031*G12)</f>
        <v>0</v>
      </c>
      <c r="AJ12" s="2">
        <f t="shared" ref="AJ12:AJ16" si="12">(1.34*Z12/10*AB12/100+0.0031*S12)</f>
        <v>0</v>
      </c>
      <c r="AK12" s="2">
        <v>1</v>
      </c>
      <c r="AL12" s="2">
        <f t="shared" ref="AL12:AL16" si="13">0.9287*(O12-24.4+14.83*(F12-7.4))</f>
        <v>-124.5776754</v>
      </c>
    </row>
    <row r="13" spans="1:38">
      <c r="A13" s="7"/>
      <c r="B13" s="7"/>
      <c r="C13" s="5" t="s">
        <v>37</v>
      </c>
      <c r="D13" s="2">
        <v>36.3</v>
      </c>
      <c r="E13" s="2">
        <v>186</v>
      </c>
      <c r="F13" s="2">
        <v>7.558</v>
      </c>
      <c r="G13" s="2">
        <v>229.5</v>
      </c>
      <c r="H13" s="2">
        <v>138.9</v>
      </c>
      <c r="I13" s="2">
        <v>3.33</v>
      </c>
      <c r="J13" s="2">
        <v>1.21</v>
      </c>
      <c r="K13" s="2">
        <v>110</v>
      </c>
      <c r="L13" s="2">
        <v>5.8</v>
      </c>
      <c r="M13" s="2">
        <v>1.01</v>
      </c>
      <c r="N13" s="2">
        <v>50</v>
      </c>
      <c r="O13" s="2">
        <v>26</v>
      </c>
      <c r="P13" s="2">
        <v>99.6</v>
      </c>
      <c r="Q13" s="2">
        <v>15</v>
      </c>
      <c r="R13" s="2">
        <v>7.513</v>
      </c>
      <c r="S13" s="2">
        <v>42.9</v>
      </c>
      <c r="T13" s="2">
        <v>139.3</v>
      </c>
      <c r="U13" s="2">
        <v>3.28</v>
      </c>
      <c r="V13" s="2">
        <v>1.21</v>
      </c>
      <c r="W13" s="2">
        <v>110</v>
      </c>
      <c r="X13" s="2">
        <v>5.6</v>
      </c>
      <c r="Y13" s="2">
        <v>1.03</v>
      </c>
      <c r="Z13" s="2">
        <v>51</v>
      </c>
      <c r="AA13" s="2">
        <v>26.1</v>
      </c>
      <c r="AB13" s="2">
        <v>84.1</v>
      </c>
      <c r="AC13" s="2">
        <v>15</v>
      </c>
      <c r="AD13" s="2">
        <v>34</v>
      </c>
      <c r="AE13" s="2">
        <v>0.306</v>
      </c>
      <c r="AF13" s="2">
        <f t="shared" si="0"/>
        <v>0.0597371565113501</v>
      </c>
      <c r="AG13" s="2">
        <f t="shared" si="10"/>
        <v>2.47476019354838</v>
      </c>
      <c r="AH13" s="2">
        <f t="shared" si="4"/>
        <v>0.02</v>
      </c>
      <c r="AI13" s="2">
        <f t="shared" si="11"/>
        <v>7.38465</v>
      </c>
      <c r="AJ13" s="2">
        <f t="shared" si="12"/>
        <v>5.880384</v>
      </c>
      <c r="AK13" s="2">
        <v>1</v>
      </c>
      <c r="AL13" s="2">
        <f t="shared" si="13"/>
        <v>3.66199411799999</v>
      </c>
    </row>
    <row r="14" spans="1:38">
      <c r="A14" s="7"/>
      <c r="B14" s="7"/>
      <c r="C14" s="5" t="s">
        <v>38</v>
      </c>
      <c r="D14" s="2">
        <v>36.3</v>
      </c>
      <c r="E14" s="2">
        <v>186</v>
      </c>
      <c r="F14" s="2">
        <v>7.424</v>
      </c>
      <c r="G14" s="2">
        <v>234.2</v>
      </c>
      <c r="H14" s="2">
        <v>139.1</v>
      </c>
      <c r="I14" s="2">
        <v>2.87</v>
      </c>
      <c r="J14" s="2">
        <v>1.22</v>
      </c>
      <c r="K14" s="2">
        <v>111</v>
      </c>
      <c r="L14" s="2">
        <v>5.3</v>
      </c>
      <c r="M14" s="2">
        <v>1.14</v>
      </c>
      <c r="N14" s="2">
        <v>50</v>
      </c>
      <c r="O14" s="2">
        <v>28</v>
      </c>
      <c r="P14" s="2">
        <v>99.5</v>
      </c>
      <c r="Q14" s="2">
        <v>15</v>
      </c>
      <c r="R14" s="2">
        <v>7.407</v>
      </c>
      <c r="S14" s="2">
        <v>52.7</v>
      </c>
      <c r="T14" s="2">
        <v>139.4</v>
      </c>
      <c r="U14" s="2">
        <v>2.91</v>
      </c>
      <c r="V14" s="2">
        <v>1.22</v>
      </c>
      <c r="W14" s="2">
        <v>111</v>
      </c>
      <c r="X14" s="2">
        <v>5.2</v>
      </c>
      <c r="Y14" s="2">
        <v>1.09</v>
      </c>
      <c r="Z14" s="2">
        <v>51</v>
      </c>
      <c r="AA14" s="2">
        <v>28.1</v>
      </c>
      <c r="AB14" s="2">
        <v>87.3</v>
      </c>
      <c r="AC14" s="2">
        <v>15</v>
      </c>
      <c r="AD14" s="2">
        <v>40</v>
      </c>
      <c r="AE14" s="2">
        <v>0.466</v>
      </c>
      <c r="AF14" s="2">
        <f t="shared" si="0"/>
        <v>0.0461488762748627</v>
      </c>
      <c r="AG14" s="2">
        <f t="shared" si="10"/>
        <v>3.16446068817204</v>
      </c>
      <c r="AH14" s="2">
        <f t="shared" si="4"/>
        <v>-0.0499999999999998</v>
      </c>
      <c r="AI14" s="2">
        <f t="shared" si="11"/>
        <v>7.39252</v>
      </c>
      <c r="AJ14" s="2">
        <f t="shared" si="12"/>
        <v>6.129452</v>
      </c>
      <c r="AK14" s="2">
        <v>1</v>
      </c>
      <c r="AL14" s="2">
        <f t="shared" si="13"/>
        <v>3.673862904</v>
      </c>
    </row>
    <row r="15" spans="1:38">
      <c r="A15" s="7"/>
      <c r="B15" s="7"/>
      <c r="C15" s="5" t="s">
        <v>39</v>
      </c>
      <c r="D15" s="2">
        <v>36.3</v>
      </c>
      <c r="E15" s="2">
        <v>186</v>
      </c>
      <c r="F15" s="2">
        <v>7.396</v>
      </c>
      <c r="G15" s="2">
        <v>233.6</v>
      </c>
      <c r="H15" s="2">
        <v>140.7</v>
      </c>
      <c r="I15" s="2">
        <v>2.91</v>
      </c>
      <c r="J15" s="2">
        <v>1.22</v>
      </c>
      <c r="K15" s="2">
        <v>111</v>
      </c>
      <c r="L15" s="2">
        <v>5</v>
      </c>
      <c r="M15" s="2">
        <v>0.63</v>
      </c>
      <c r="N15" s="2">
        <v>47</v>
      </c>
      <c r="O15" s="2">
        <v>28.6</v>
      </c>
      <c r="P15" s="2">
        <v>99.5</v>
      </c>
      <c r="Q15" s="2">
        <v>14</v>
      </c>
      <c r="R15" s="2">
        <v>7.389</v>
      </c>
      <c r="S15" s="2">
        <v>59.6</v>
      </c>
      <c r="T15" s="2">
        <v>141.6</v>
      </c>
      <c r="U15" s="2">
        <v>2.96</v>
      </c>
      <c r="V15" s="2">
        <v>1.21</v>
      </c>
      <c r="W15" s="2">
        <v>112</v>
      </c>
      <c r="X15" s="2">
        <v>5</v>
      </c>
      <c r="Y15" s="2">
        <v>0.79</v>
      </c>
      <c r="Z15" s="2">
        <v>49</v>
      </c>
      <c r="AA15" s="2">
        <v>29.5</v>
      </c>
      <c r="AB15" s="2">
        <v>90.3</v>
      </c>
      <c r="AC15" s="2">
        <v>14</v>
      </c>
      <c r="AD15" s="2">
        <v>30</v>
      </c>
      <c r="AE15" s="2">
        <v>0.544</v>
      </c>
      <c r="AF15" s="2">
        <f t="shared" si="0"/>
        <v>0.0296489563567362</v>
      </c>
      <c r="AG15" s="2">
        <f t="shared" si="10"/>
        <v>2.56443939784946</v>
      </c>
      <c r="AH15" s="2">
        <f t="shared" si="4"/>
        <v>0.16</v>
      </c>
      <c r="AI15" s="2">
        <f t="shared" si="11"/>
        <v>6.99067</v>
      </c>
      <c r="AJ15" s="2">
        <f t="shared" si="12"/>
        <v>6.113858</v>
      </c>
      <c r="AK15" s="2">
        <v>1</v>
      </c>
      <c r="AL15" s="2">
        <f t="shared" si="13"/>
        <v>3.845449516</v>
      </c>
    </row>
    <row r="16" spans="1:38">
      <c r="A16" s="7"/>
      <c r="B16" s="7"/>
      <c r="C16" s="8" t="s">
        <v>40</v>
      </c>
      <c r="D16" s="2">
        <v>36.3</v>
      </c>
      <c r="E16" s="2">
        <v>186</v>
      </c>
      <c r="F16" s="2">
        <v>7.379</v>
      </c>
      <c r="G16" s="2">
        <v>190.3</v>
      </c>
      <c r="H16" s="2">
        <v>141.4</v>
      </c>
      <c r="I16" s="2">
        <v>3.26</v>
      </c>
      <c r="J16" s="2">
        <v>1.14</v>
      </c>
      <c r="K16" s="2">
        <v>113</v>
      </c>
      <c r="L16" s="2">
        <v>4.4</v>
      </c>
      <c r="M16" s="2">
        <v>0.31</v>
      </c>
      <c r="N16" s="2">
        <v>50</v>
      </c>
      <c r="O16" s="2">
        <v>28.3</v>
      </c>
      <c r="P16" s="2">
        <v>99.3</v>
      </c>
      <c r="Q16" s="2">
        <v>15</v>
      </c>
      <c r="R16" s="2">
        <v>7.361</v>
      </c>
      <c r="S16" s="2">
        <v>68.7</v>
      </c>
      <c r="T16" s="2">
        <v>141.4</v>
      </c>
      <c r="U16" s="2">
        <v>3.29</v>
      </c>
      <c r="V16" s="2">
        <v>1.14</v>
      </c>
      <c r="W16" s="2">
        <v>113</v>
      </c>
      <c r="X16" s="2">
        <v>4.3</v>
      </c>
      <c r="Y16" s="2">
        <v>0.37</v>
      </c>
      <c r="Z16" s="2">
        <v>51</v>
      </c>
      <c r="AA16" s="2">
        <v>27.6</v>
      </c>
      <c r="AB16" s="2">
        <v>92.9</v>
      </c>
      <c r="AC16" s="2">
        <v>15</v>
      </c>
      <c r="AD16" s="2">
        <v>45</v>
      </c>
      <c r="AE16" s="2">
        <v>0.621</v>
      </c>
      <c r="AF16" s="2">
        <f t="shared" si="0"/>
        <v>0.0389590151160979</v>
      </c>
      <c r="AG16" s="2">
        <f t="shared" si="10"/>
        <v>2.27457609677418</v>
      </c>
      <c r="AH16" s="2">
        <f t="shared" si="4"/>
        <v>0.06</v>
      </c>
      <c r="AI16" s="2">
        <f t="shared" si="11"/>
        <v>7.24303</v>
      </c>
      <c r="AJ16" s="2">
        <f t="shared" si="12"/>
        <v>6.561756</v>
      </c>
      <c r="AK16" s="2">
        <v>1</v>
      </c>
      <c r="AL16" s="2">
        <f t="shared" si="13"/>
        <v>3.33270495899999</v>
      </c>
    </row>
    <row r="17" spans="1:38">
      <c r="A17" s="4">
        <v>4</v>
      </c>
      <c r="B17" s="4" t="s">
        <v>43</v>
      </c>
      <c r="C17" s="5" t="s">
        <v>36</v>
      </c>
      <c r="D17" s="2">
        <v>40</v>
      </c>
      <c r="E17" s="2">
        <v>254</v>
      </c>
      <c r="F17" s="2">
        <v>7.348</v>
      </c>
      <c r="G17" s="2">
        <v>250.6</v>
      </c>
      <c r="H17" s="2">
        <v>134.4</v>
      </c>
      <c r="I17" s="2">
        <v>4.56</v>
      </c>
      <c r="J17" s="2">
        <v>0.78</v>
      </c>
      <c r="K17" s="2">
        <v>108</v>
      </c>
      <c r="L17" s="2">
        <v>7.7</v>
      </c>
      <c r="M17" s="2">
        <v>3.35</v>
      </c>
      <c r="N17" s="2">
        <v>47</v>
      </c>
      <c r="O17" s="2">
        <v>20.4</v>
      </c>
      <c r="P17" s="2">
        <v>99.5</v>
      </c>
      <c r="Q17" s="2">
        <v>14</v>
      </c>
      <c r="R17" s="2">
        <v>7.333</v>
      </c>
      <c r="S17" s="2">
        <v>66.2</v>
      </c>
      <c r="T17" s="2">
        <v>137</v>
      </c>
      <c r="U17" s="2">
        <v>4.6</v>
      </c>
      <c r="V17" s="2">
        <v>0.79</v>
      </c>
      <c r="W17" s="2">
        <v>109</v>
      </c>
      <c r="X17" s="2">
        <v>7.5</v>
      </c>
      <c r="Y17" s="2">
        <v>3.22</v>
      </c>
      <c r="Z17" s="2">
        <v>46</v>
      </c>
      <c r="AA17" s="2">
        <v>20.3</v>
      </c>
      <c r="AB17" s="2">
        <v>92</v>
      </c>
      <c r="AC17" s="2">
        <v>14</v>
      </c>
      <c r="AD17" s="2">
        <v>46</v>
      </c>
      <c r="AE17" s="2">
        <v>0.51</v>
      </c>
      <c r="AF17" s="2">
        <f t="shared" si="0"/>
        <v>0.0355102670989656</v>
      </c>
      <c r="AG17" s="2">
        <f t="shared" ref="AG17:AG21" si="14">AE17*1000*((1.34*N17/10*P17/100+0.0031*G17)-(1.34*Z17/10*AB17/100+0.0031*S17))/(E17/100)/100</f>
        <v>2.34373110236221</v>
      </c>
      <c r="AH17" s="2">
        <f t="shared" si="4"/>
        <v>-0.13</v>
      </c>
      <c r="AI17" s="2">
        <f t="shared" ref="AI17:AI21" si="15">(1.34*N17/10*P17/100+0.0031*G17)</f>
        <v>7.04337</v>
      </c>
      <c r="AJ17" s="2">
        <f t="shared" ref="AJ17:AJ21" si="16">(1.34*Z17/10*AB17/100+0.0031*S17)</f>
        <v>5.8761</v>
      </c>
      <c r="AK17" s="2">
        <v>1</v>
      </c>
      <c r="AL17" s="2">
        <f t="shared" ref="AL17:AL21" si="17">0.9287*(O17-24.4+14.83*(F17-7.4))</f>
        <v>-4.43097629200001</v>
      </c>
    </row>
    <row r="18" spans="1:38">
      <c r="A18" s="7"/>
      <c r="B18" s="7"/>
      <c r="C18" s="5" t="s">
        <v>37</v>
      </c>
      <c r="D18" s="2">
        <v>40</v>
      </c>
      <c r="E18" s="2">
        <v>254</v>
      </c>
      <c r="F18" s="2">
        <v>7.398</v>
      </c>
      <c r="G18" s="2">
        <v>243.8</v>
      </c>
      <c r="H18" s="2">
        <v>133.5</v>
      </c>
      <c r="I18" s="2">
        <v>4.23</v>
      </c>
      <c r="J18" s="2">
        <v>4.47</v>
      </c>
      <c r="K18" s="2">
        <v>119</v>
      </c>
      <c r="L18" s="2">
        <v>7.2</v>
      </c>
      <c r="M18" s="2">
        <v>3.75</v>
      </c>
      <c r="N18" s="2">
        <v>47</v>
      </c>
      <c r="O18" s="2">
        <v>18.8</v>
      </c>
      <c r="P18" s="2">
        <v>99.6</v>
      </c>
      <c r="Q18" s="2">
        <v>14</v>
      </c>
      <c r="R18" s="2">
        <v>7.402</v>
      </c>
      <c r="S18" s="2">
        <v>56</v>
      </c>
      <c r="T18" s="2">
        <v>134.7</v>
      </c>
      <c r="U18" s="2">
        <v>4.23</v>
      </c>
      <c r="V18" s="2">
        <v>1.26</v>
      </c>
      <c r="W18" s="2">
        <v>110</v>
      </c>
      <c r="X18" s="2">
        <v>7.2</v>
      </c>
      <c r="Y18" s="2">
        <v>3.43</v>
      </c>
      <c r="Z18" s="2">
        <v>47</v>
      </c>
      <c r="AA18" s="2">
        <v>19.2</v>
      </c>
      <c r="AB18" s="2">
        <v>89.7</v>
      </c>
      <c r="AC18" s="2">
        <v>14</v>
      </c>
      <c r="AD18" s="2">
        <v>45</v>
      </c>
      <c r="AE18" s="2">
        <v>0.548</v>
      </c>
      <c r="AF18" s="2">
        <f t="shared" si="0"/>
        <v>0.0323294442209322</v>
      </c>
      <c r="AG18" s="2">
        <f t="shared" si="14"/>
        <v>2.60123518110236</v>
      </c>
      <c r="AH18" s="2">
        <f t="shared" si="4"/>
        <v>-0.32</v>
      </c>
      <c r="AI18" s="2">
        <f t="shared" si="15"/>
        <v>7.028588</v>
      </c>
      <c r="AJ18" s="2">
        <f t="shared" si="16"/>
        <v>5.822906</v>
      </c>
      <c r="AK18" s="2">
        <v>1</v>
      </c>
      <c r="AL18" s="2">
        <f t="shared" si="17"/>
        <v>-5.22826524200001</v>
      </c>
    </row>
    <row r="19" spans="1:38">
      <c r="A19" s="7"/>
      <c r="B19" s="7"/>
      <c r="C19" s="5" t="s">
        <v>38</v>
      </c>
      <c r="D19" s="2">
        <v>40</v>
      </c>
      <c r="E19" s="2">
        <v>254</v>
      </c>
      <c r="F19" s="2">
        <v>7.522</v>
      </c>
      <c r="G19" s="2">
        <v>240.1</v>
      </c>
      <c r="H19" s="2">
        <v>135.3</v>
      </c>
      <c r="I19" s="2">
        <v>4.17</v>
      </c>
      <c r="J19" s="2">
        <v>2.86</v>
      </c>
      <c r="K19" s="2">
        <v>117</v>
      </c>
      <c r="L19" s="2">
        <v>7.2</v>
      </c>
      <c r="M19" s="2">
        <v>4.24</v>
      </c>
      <c r="N19" s="2">
        <v>46</v>
      </c>
      <c r="O19" s="2">
        <v>17.9</v>
      </c>
      <c r="P19" s="2">
        <v>99.6</v>
      </c>
      <c r="Q19" s="2">
        <v>14</v>
      </c>
      <c r="R19" s="2">
        <v>7.508</v>
      </c>
      <c r="S19" s="2">
        <v>66.6</v>
      </c>
      <c r="T19" s="2">
        <v>134.8</v>
      </c>
      <c r="U19" s="2">
        <v>4.1</v>
      </c>
      <c r="V19" s="2">
        <v>1.21</v>
      </c>
      <c r="W19" s="2">
        <v>111</v>
      </c>
      <c r="X19" s="2">
        <v>7</v>
      </c>
      <c r="Y19" s="2">
        <v>3.83</v>
      </c>
      <c r="Z19" s="2">
        <v>46</v>
      </c>
      <c r="AA19" s="2">
        <v>18.1</v>
      </c>
      <c r="AB19" s="2">
        <v>95.3</v>
      </c>
      <c r="AC19" s="2">
        <v>14</v>
      </c>
      <c r="AD19" s="2">
        <v>51</v>
      </c>
      <c r="AE19" s="2">
        <v>0.777</v>
      </c>
      <c r="AF19" s="2">
        <f t="shared" si="0"/>
        <v>0.0258413644240416</v>
      </c>
      <c r="AG19" s="2">
        <f t="shared" si="14"/>
        <v>2.45612147244094</v>
      </c>
      <c r="AH19" s="2">
        <f t="shared" si="4"/>
        <v>-0.41</v>
      </c>
      <c r="AI19" s="2">
        <f t="shared" si="15"/>
        <v>6.883654</v>
      </c>
      <c r="AJ19" s="2">
        <f t="shared" si="16"/>
        <v>6.080752</v>
      </c>
      <c r="AK19" s="2">
        <v>1</v>
      </c>
      <c r="AL19" s="2">
        <f t="shared" si="17"/>
        <v>-4.356290238</v>
      </c>
    </row>
    <row r="20" spans="1:38">
      <c r="A20" s="7"/>
      <c r="B20" s="7"/>
      <c r="C20" s="5" t="s">
        <v>39</v>
      </c>
      <c r="D20" s="2">
        <v>40</v>
      </c>
      <c r="E20" s="2">
        <v>254</v>
      </c>
      <c r="F20" s="2">
        <v>7.393</v>
      </c>
      <c r="G20" s="2">
        <v>317.5</v>
      </c>
      <c r="H20" s="2">
        <v>134.9</v>
      </c>
      <c r="I20" s="2">
        <v>4.25</v>
      </c>
      <c r="J20" s="2">
        <v>1.21</v>
      </c>
      <c r="K20" s="2">
        <v>110</v>
      </c>
      <c r="L20" s="2">
        <v>7.5</v>
      </c>
      <c r="M20" s="2">
        <v>3.98</v>
      </c>
      <c r="N20" s="2">
        <v>46</v>
      </c>
      <c r="O20" s="2">
        <v>18.8</v>
      </c>
      <c r="P20" s="2">
        <v>99.7</v>
      </c>
      <c r="Q20" s="2">
        <v>14</v>
      </c>
      <c r="R20" s="2">
        <v>7.393</v>
      </c>
      <c r="S20" s="2">
        <v>102.5</v>
      </c>
      <c r="T20" s="2">
        <v>136.2</v>
      </c>
      <c r="U20" s="2">
        <v>4.29</v>
      </c>
      <c r="V20" s="2">
        <v>1.21</v>
      </c>
      <c r="W20" s="2">
        <v>111</v>
      </c>
      <c r="X20" s="2">
        <v>7.4</v>
      </c>
      <c r="Y20" s="2">
        <v>3.72</v>
      </c>
      <c r="Z20" s="2">
        <v>45</v>
      </c>
      <c r="AA20" s="2">
        <v>19.3</v>
      </c>
      <c r="AB20" s="2">
        <v>97.7</v>
      </c>
      <c r="AC20" s="2">
        <v>13</v>
      </c>
      <c r="AD20" s="2">
        <v>51</v>
      </c>
      <c r="AE20" s="2">
        <v>0.758</v>
      </c>
      <c r="AF20" s="2">
        <f t="shared" si="0"/>
        <v>0.0264891031101323</v>
      </c>
      <c r="AG20" s="2">
        <f t="shared" si="14"/>
        <v>2.74759481889763</v>
      </c>
      <c r="AH20" s="2">
        <f t="shared" si="4"/>
        <v>-0.26</v>
      </c>
      <c r="AI20" s="2">
        <f t="shared" si="15"/>
        <v>7.129758</v>
      </c>
      <c r="AJ20" s="2">
        <f t="shared" si="16"/>
        <v>6.20906</v>
      </c>
      <c r="AK20" s="2">
        <v>1</v>
      </c>
      <c r="AL20" s="2">
        <f t="shared" si="17"/>
        <v>-5.29712834700001</v>
      </c>
    </row>
    <row r="21" spans="1:38">
      <c r="A21" s="7"/>
      <c r="B21" s="7"/>
      <c r="C21" s="8" t="s">
        <v>40</v>
      </c>
      <c r="D21" s="2">
        <v>40</v>
      </c>
      <c r="E21" s="2">
        <v>254</v>
      </c>
      <c r="F21" s="2">
        <v>7.443</v>
      </c>
      <c r="G21" s="2">
        <v>237.3</v>
      </c>
      <c r="H21" s="2">
        <v>136</v>
      </c>
      <c r="I21" s="2">
        <v>4.65</v>
      </c>
      <c r="J21" s="2">
        <v>1.13</v>
      </c>
      <c r="K21" s="2">
        <v>112</v>
      </c>
      <c r="L21" s="2">
        <v>8.2</v>
      </c>
      <c r="M21" s="2">
        <v>2.43</v>
      </c>
      <c r="N21" s="2">
        <v>45</v>
      </c>
      <c r="O21" s="2">
        <v>19.6</v>
      </c>
      <c r="P21" s="2">
        <v>99.6</v>
      </c>
      <c r="Q21" s="2">
        <v>13</v>
      </c>
      <c r="R21" s="2">
        <v>7.42</v>
      </c>
      <c r="S21" s="2">
        <v>85</v>
      </c>
      <c r="T21" s="2">
        <v>136.6</v>
      </c>
      <c r="U21" s="2">
        <v>4.64</v>
      </c>
      <c r="V21" s="2">
        <v>1.14</v>
      </c>
      <c r="W21" s="2">
        <v>112</v>
      </c>
      <c r="X21" s="2">
        <v>8.2</v>
      </c>
      <c r="Y21" s="2">
        <v>2.4</v>
      </c>
      <c r="Z21" s="2">
        <v>47</v>
      </c>
      <c r="AA21" s="2">
        <v>19.9</v>
      </c>
      <c r="AB21" s="2">
        <v>96.7</v>
      </c>
      <c r="AC21" s="2">
        <v>14</v>
      </c>
      <c r="AD21" s="2">
        <v>38</v>
      </c>
      <c r="AE21" s="2">
        <v>0.591</v>
      </c>
      <c r="AF21" s="2">
        <f t="shared" si="0"/>
        <v>0.025314094621421</v>
      </c>
      <c r="AG21" s="2">
        <f t="shared" si="14"/>
        <v>0.902424425196851</v>
      </c>
      <c r="AH21" s="2">
        <f t="shared" si="4"/>
        <v>-0.0300000000000002</v>
      </c>
      <c r="AI21" s="2">
        <f t="shared" si="15"/>
        <v>6.74151</v>
      </c>
      <c r="AJ21" s="2">
        <f t="shared" si="16"/>
        <v>6.353666</v>
      </c>
      <c r="AK21" s="2">
        <v>1</v>
      </c>
      <c r="AL21" s="2">
        <f t="shared" si="17"/>
        <v>-3.86553729700001</v>
      </c>
    </row>
    <row r="22" spans="1:38">
      <c r="A22" s="4">
        <v>5</v>
      </c>
      <c r="B22" s="4" t="s">
        <v>44</v>
      </c>
      <c r="C22" s="5" t="s">
        <v>36</v>
      </c>
      <c r="D22" s="2">
        <v>36.3</v>
      </c>
      <c r="E22" s="2">
        <v>251</v>
      </c>
      <c r="F22" s="2">
        <v>7.435</v>
      </c>
      <c r="G22" s="2">
        <v>235.3</v>
      </c>
      <c r="H22" s="2">
        <v>136.8</v>
      </c>
      <c r="I22" s="2">
        <v>3.75</v>
      </c>
      <c r="J22" s="2">
        <v>0.81</v>
      </c>
      <c r="K22" s="2">
        <v>113</v>
      </c>
      <c r="L22" s="2">
        <v>7</v>
      </c>
      <c r="M22" s="2">
        <v>0.88</v>
      </c>
      <c r="N22" s="2">
        <v>51</v>
      </c>
      <c r="O22" s="2">
        <v>22.7</v>
      </c>
      <c r="P22" s="2">
        <v>99.6</v>
      </c>
      <c r="Q22" s="2">
        <v>15</v>
      </c>
      <c r="R22" s="2">
        <v>7.417</v>
      </c>
      <c r="S22" s="2">
        <v>77.3</v>
      </c>
      <c r="T22" s="2">
        <v>137.1</v>
      </c>
      <c r="U22" s="2">
        <v>3.66</v>
      </c>
      <c r="V22" s="2">
        <v>0.82</v>
      </c>
      <c r="W22" s="2">
        <v>112</v>
      </c>
      <c r="X22" s="2">
        <v>7.1</v>
      </c>
      <c r="Y22" s="2">
        <v>0.84</v>
      </c>
      <c r="Z22" s="2">
        <v>50</v>
      </c>
      <c r="AA22" s="2">
        <v>22.9</v>
      </c>
      <c r="AB22" s="2">
        <v>95.7</v>
      </c>
      <c r="AC22" s="2">
        <v>15</v>
      </c>
      <c r="AD22" s="2">
        <v>39</v>
      </c>
      <c r="AE22" s="2">
        <v>0.48</v>
      </c>
      <c r="AF22" s="2">
        <f t="shared" si="0"/>
        <v>0.0323705179282869</v>
      </c>
      <c r="AG22" s="2">
        <f t="shared" ref="AG22:AG26" si="18">AE22*1000*((1.34*N22/10*P22/100+0.0031*G22)-(1.34*Z22/10*AB22/100+0.0031*S22))/(E22/100)/100</f>
        <v>1.6915964940239</v>
      </c>
      <c r="AH22" s="2">
        <f t="shared" si="4"/>
        <v>-0.04</v>
      </c>
      <c r="AI22" s="2">
        <f t="shared" ref="AI22:AI26" si="19">(1.34*N22/10*P22/100+0.0031*G22)</f>
        <v>7.536094</v>
      </c>
      <c r="AJ22" s="2">
        <f t="shared" ref="AJ22:AJ26" si="20">(1.34*Z22/10*AB22/100+0.0031*S22)</f>
        <v>6.65153</v>
      </c>
      <c r="AK22" s="2">
        <v>0</v>
      </c>
      <c r="AL22" s="2">
        <f t="shared" ref="AL22:AL26" si="21">0.9287*(O22-24.4+14.83*(F22-7.4))</f>
        <v>-1.09674826500001</v>
      </c>
    </row>
    <row r="23" spans="1:38">
      <c r="A23" s="7"/>
      <c r="B23" s="7"/>
      <c r="C23" s="5" t="s">
        <v>37</v>
      </c>
      <c r="D23" s="2">
        <v>36.3</v>
      </c>
      <c r="E23" s="2">
        <v>251</v>
      </c>
      <c r="F23" s="2">
        <v>7.529</v>
      </c>
      <c r="G23" s="2">
        <v>246.5</v>
      </c>
      <c r="H23" s="2">
        <v>137.1</v>
      </c>
      <c r="I23" s="2">
        <v>3.17</v>
      </c>
      <c r="J23" s="2">
        <v>1.37</v>
      </c>
      <c r="K23" s="2">
        <v>113</v>
      </c>
      <c r="L23" s="2">
        <v>8.2</v>
      </c>
      <c r="M23" s="2">
        <v>1.25</v>
      </c>
      <c r="N23" s="2">
        <v>52</v>
      </c>
      <c r="O23" s="2">
        <v>22.5</v>
      </c>
      <c r="P23" s="2">
        <v>99.7</v>
      </c>
      <c r="Q23" s="2">
        <v>15</v>
      </c>
      <c r="R23" s="2">
        <v>7.507</v>
      </c>
      <c r="S23" s="2">
        <v>51.5</v>
      </c>
      <c r="T23" s="2">
        <v>136.7</v>
      </c>
      <c r="U23" s="2">
        <v>3.14</v>
      </c>
      <c r="V23" s="2">
        <v>1.39</v>
      </c>
      <c r="W23" s="2">
        <v>113</v>
      </c>
      <c r="X23" s="2">
        <v>7.9</v>
      </c>
      <c r="Y23" s="2">
        <v>1.18</v>
      </c>
      <c r="Z23" s="2">
        <v>52</v>
      </c>
      <c r="AA23" s="2">
        <v>22</v>
      </c>
      <c r="AB23" s="2">
        <v>90.3</v>
      </c>
      <c r="AC23" s="2">
        <v>15</v>
      </c>
      <c r="AD23" s="2">
        <v>43</v>
      </c>
      <c r="AE23" s="2">
        <v>0.429</v>
      </c>
      <c r="AF23" s="2">
        <f t="shared" si="0"/>
        <v>0.0399335060689642</v>
      </c>
      <c r="AG23" s="2">
        <f t="shared" si="18"/>
        <v>2.15267756175299</v>
      </c>
      <c r="AH23" s="2">
        <f t="shared" si="4"/>
        <v>-0.0700000000000001</v>
      </c>
      <c r="AI23" s="2">
        <f t="shared" si="19"/>
        <v>7.711246</v>
      </c>
      <c r="AJ23" s="2">
        <f t="shared" si="20"/>
        <v>6.451754</v>
      </c>
      <c r="AK23" s="2">
        <v>0</v>
      </c>
      <c r="AL23" s="2">
        <f t="shared" si="21"/>
        <v>0.0121381089999952</v>
      </c>
    </row>
    <row r="24" spans="1:38">
      <c r="A24" s="7"/>
      <c r="B24" s="7"/>
      <c r="C24" s="5" t="s">
        <v>38</v>
      </c>
      <c r="D24" s="2">
        <v>36.3</v>
      </c>
      <c r="E24" s="2">
        <v>251</v>
      </c>
      <c r="F24" s="2">
        <v>7.524</v>
      </c>
      <c r="G24" s="2">
        <v>63.1</v>
      </c>
      <c r="H24" s="2">
        <v>136.1</v>
      </c>
      <c r="I24" s="2">
        <v>2.88</v>
      </c>
      <c r="J24" s="2">
        <v>1.33</v>
      </c>
      <c r="K24" s="2">
        <v>113</v>
      </c>
      <c r="L24" s="2">
        <v>10.3</v>
      </c>
      <c r="M24" s="2">
        <v>1.66</v>
      </c>
      <c r="N24" s="2">
        <v>53</v>
      </c>
      <c r="O24" s="2">
        <v>22.1</v>
      </c>
      <c r="P24" s="2">
        <v>94.6</v>
      </c>
      <c r="Q24" s="2">
        <v>16</v>
      </c>
      <c r="R24" s="2">
        <v>7.546</v>
      </c>
      <c r="S24" s="2">
        <v>241.3</v>
      </c>
      <c r="T24" s="2">
        <v>135.2</v>
      </c>
      <c r="U24" s="2">
        <v>2.89</v>
      </c>
      <c r="V24" s="2">
        <v>1.33</v>
      </c>
      <c r="W24" s="2">
        <v>113</v>
      </c>
      <c r="X24" s="2">
        <v>10</v>
      </c>
      <c r="Y24" s="2">
        <v>1.66</v>
      </c>
      <c r="Z24" s="2">
        <v>52</v>
      </c>
      <c r="AA24" s="2">
        <v>20.7</v>
      </c>
      <c r="AB24" s="2">
        <v>99.7</v>
      </c>
      <c r="AC24" s="2">
        <v>15</v>
      </c>
      <c r="AD24" s="2">
        <v>49</v>
      </c>
      <c r="AE24" s="2">
        <v>0.732</v>
      </c>
      <c r="AF24" s="2">
        <f t="shared" si="0"/>
        <v>0.0266692791674831</v>
      </c>
      <c r="AG24" s="2">
        <f t="shared" si="18"/>
        <v>-2.2777273625498</v>
      </c>
      <c r="AH24" s="2">
        <f t="shared" si="4"/>
        <v>0</v>
      </c>
      <c r="AI24" s="2">
        <f t="shared" si="19"/>
        <v>6.914102</v>
      </c>
      <c r="AJ24" s="2">
        <f t="shared" si="20"/>
        <v>7.695126</v>
      </c>
      <c r="AK24" s="2">
        <v>0</v>
      </c>
      <c r="AL24" s="2">
        <f t="shared" si="21"/>
        <v>-0.428204996000002</v>
      </c>
    </row>
    <row r="25" spans="1:38">
      <c r="A25" s="7"/>
      <c r="B25" s="7"/>
      <c r="C25" s="5" t="s">
        <v>39</v>
      </c>
      <c r="D25" s="2">
        <v>36.3</v>
      </c>
      <c r="E25" s="2">
        <v>251</v>
      </c>
      <c r="F25" s="2">
        <v>7.429</v>
      </c>
      <c r="G25" s="2">
        <v>226.5</v>
      </c>
      <c r="H25" s="2">
        <v>132.7</v>
      </c>
      <c r="I25" s="2">
        <v>2.94</v>
      </c>
      <c r="J25" s="2">
        <v>1.29</v>
      </c>
      <c r="K25" s="2">
        <v>110</v>
      </c>
      <c r="L25" s="2">
        <v>11.1</v>
      </c>
      <c r="M25" s="2">
        <v>1.22</v>
      </c>
      <c r="N25" s="2">
        <v>53</v>
      </c>
      <c r="O25" s="2">
        <v>21.6</v>
      </c>
      <c r="P25" s="2">
        <v>99.5</v>
      </c>
      <c r="Q25" s="2">
        <v>16</v>
      </c>
      <c r="R25" s="2">
        <v>7.433</v>
      </c>
      <c r="S25" s="2">
        <v>69.6</v>
      </c>
      <c r="T25" s="2">
        <v>132.9</v>
      </c>
      <c r="U25" s="2">
        <v>2.94</v>
      </c>
      <c r="V25" s="2">
        <v>1.3</v>
      </c>
      <c r="W25" s="2">
        <v>111</v>
      </c>
      <c r="X25" s="2">
        <v>10.8</v>
      </c>
      <c r="Y25" s="2">
        <v>1.2</v>
      </c>
      <c r="Z25" s="2">
        <v>53</v>
      </c>
      <c r="AA25" s="2">
        <v>21.2</v>
      </c>
      <c r="AB25" s="2">
        <v>94.7</v>
      </c>
      <c r="AC25" s="2">
        <v>16</v>
      </c>
      <c r="AD25" s="2">
        <v>51</v>
      </c>
      <c r="AE25" s="2">
        <v>0.799</v>
      </c>
      <c r="AF25" s="2">
        <f t="shared" si="0"/>
        <v>0.0254301941171484</v>
      </c>
      <c r="AG25" s="2">
        <f t="shared" si="18"/>
        <v>2.63347216733067</v>
      </c>
      <c r="AH25" s="2">
        <f t="shared" si="4"/>
        <v>-0.02</v>
      </c>
      <c r="AI25" s="2">
        <f t="shared" si="19"/>
        <v>7.76864</v>
      </c>
      <c r="AJ25" s="2">
        <f t="shared" si="20"/>
        <v>6.941354</v>
      </c>
      <c r="AK25" s="2">
        <v>0</v>
      </c>
      <c r="AL25" s="2">
        <f t="shared" si="21"/>
        <v>-2.200953991</v>
      </c>
    </row>
    <row r="26" s="1" customFormat="1" spans="1:38">
      <c r="A26" s="7"/>
      <c r="B26" s="7"/>
      <c r="C26" s="9" t="s">
        <v>40</v>
      </c>
      <c r="D26" s="1">
        <v>36.3</v>
      </c>
      <c r="E26" s="2">
        <v>251</v>
      </c>
      <c r="F26" s="1">
        <v>7.332</v>
      </c>
      <c r="G26" s="1">
        <v>197.4</v>
      </c>
      <c r="H26" s="1">
        <v>134.2</v>
      </c>
      <c r="I26" s="1">
        <v>3.77</v>
      </c>
      <c r="J26" s="1">
        <v>1.23</v>
      </c>
      <c r="K26" s="1">
        <v>111</v>
      </c>
      <c r="L26" s="1">
        <v>12.1</v>
      </c>
      <c r="M26" s="1">
        <v>0.41</v>
      </c>
      <c r="N26" s="1">
        <v>52</v>
      </c>
      <c r="O26" s="1">
        <v>23.1</v>
      </c>
      <c r="P26" s="1">
        <v>99.3</v>
      </c>
      <c r="Q26" s="1">
        <v>15</v>
      </c>
      <c r="R26" s="1">
        <v>7.313</v>
      </c>
      <c r="S26" s="1">
        <v>61.6</v>
      </c>
      <c r="T26" s="1">
        <v>133.4</v>
      </c>
      <c r="U26" s="1">
        <v>3.72</v>
      </c>
      <c r="V26" s="1">
        <v>1.23</v>
      </c>
      <c r="W26" s="1">
        <v>111</v>
      </c>
      <c r="X26" s="1">
        <v>12</v>
      </c>
      <c r="Y26" s="1">
        <v>0.45</v>
      </c>
      <c r="Z26" s="1">
        <v>52</v>
      </c>
      <c r="AA26" s="1">
        <v>23.7</v>
      </c>
      <c r="AB26" s="1">
        <v>89.4</v>
      </c>
      <c r="AC26" s="1">
        <v>15</v>
      </c>
      <c r="AD26" s="1">
        <v>41</v>
      </c>
      <c r="AE26" s="1">
        <v>0.542</v>
      </c>
      <c r="AF26" s="1">
        <f t="shared" si="0"/>
        <v>0.030137751576719</v>
      </c>
      <c r="AG26" s="2">
        <f t="shared" si="18"/>
        <v>2.39864583266932</v>
      </c>
      <c r="AH26" s="1">
        <f t="shared" si="4"/>
        <v>0.04</v>
      </c>
      <c r="AI26" s="2">
        <f t="shared" si="19"/>
        <v>7.531164</v>
      </c>
      <c r="AJ26" s="2">
        <f t="shared" si="20"/>
        <v>6.420352</v>
      </c>
      <c r="AK26" s="1">
        <v>0</v>
      </c>
      <c r="AL26" s="2">
        <f t="shared" si="21"/>
        <v>-2.143848228</v>
      </c>
    </row>
    <row r="27" spans="1:38">
      <c r="A27" s="4">
        <v>6</v>
      </c>
      <c r="B27" s="4" t="s">
        <v>45</v>
      </c>
      <c r="C27" s="5" t="s">
        <v>36</v>
      </c>
      <c r="D27" s="2">
        <v>32.2</v>
      </c>
      <c r="E27" s="2">
        <v>202</v>
      </c>
      <c r="F27" s="2">
        <v>7.212</v>
      </c>
      <c r="G27" s="2">
        <v>247.2</v>
      </c>
      <c r="H27" s="2">
        <v>134.9</v>
      </c>
      <c r="I27" s="2">
        <v>5.71</v>
      </c>
      <c r="J27" s="2">
        <v>1.23</v>
      </c>
      <c r="K27" s="2">
        <v>110</v>
      </c>
      <c r="L27" s="2">
        <v>9.4</v>
      </c>
      <c r="M27" s="2">
        <v>3.54</v>
      </c>
      <c r="N27" s="2">
        <v>38</v>
      </c>
      <c r="O27" s="2">
        <v>19.5</v>
      </c>
      <c r="P27" s="2">
        <v>99.4</v>
      </c>
      <c r="Q27" s="2">
        <v>11</v>
      </c>
      <c r="R27" s="2">
        <v>7.186</v>
      </c>
      <c r="S27" s="2">
        <v>70.7</v>
      </c>
      <c r="T27" s="2">
        <v>135</v>
      </c>
      <c r="U27" s="2">
        <v>5.62</v>
      </c>
      <c r="V27" s="2">
        <v>1.27</v>
      </c>
      <c r="W27" s="2">
        <v>110</v>
      </c>
      <c r="X27" s="2">
        <v>9.1</v>
      </c>
      <c r="Y27" s="2">
        <v>3.22</v>
      </c>
      <c r="Z27" s="2">
        <v>40</v>
      </c>
      <c r="AA27" s="2">
        <v>19.8</v>
      </c>
      <c r="AB27" s="2">
        <v>89.7</v>
      </c>
      <c r="AD27" s="2">
        <v>48</v>
      </c>
      <c r="AE27" s="2">
        <v>0.37</v>
      </c>
      <c r="AF27" s="2">
        <f t="shared" si="0"/>
        <v>0.0642226384800642</v>
      </c>
      <c r="AG27" s="2">
        <f t="shared" ref="AG27:AG31" si="22">AE27*1000*((1.34*N27/10*P27/100+0.0031*G27)-(1.34*Z27/10*AB27/100+0.0031*S27))/(E27/100)/100</f>
        <v>1.46658841584158</v>
      </c>
      <c r="AH27" s="2">
        <f t="shared" si="4"/>
        <v>-0.32</v>
      </c>
      <c r="AI27" s="2">
        <f t="shared" ref="AI27:AI31" si="23">(1.34*N27/10*P27/100+0.0031*G27)</f>
        <v>5.827768</v>
      </c>
      <c r="AJ27" s="2">
        <f t="shared" ref="AJ27:AJ31" si="24">(1.34*Z27/10*AB27/100+0.0031*S27)</f>
        <v>5.02709</v>
      </c>
      <c r="AK27" s="2">
        <v>0</v>
      </c>
      <c r="AL27" s="2">
        <f t="shared" ref="AL27:AL31" si="25">0.9287*(O27-24.4+14.83*(F27-7.4))</f>
        <v>-7.13988274800001</v>
      </c>
    </row>
    <row r="28" spans="1:38">
      <c r="A28" s="7"/>
      <c r="B28" s="7"/>
      <c r="C28" s="5" t="s">
        <v>37</v>
      </c>
      <c r="D28" s="2">
        <v>32.2</v>
      </c>
      <c r="E28" s="2">
        <v>202</v>
      </c>
      <c r="F28" s="2">
        <v>7.392</v>
      </c>
      <c r="G28" s="2">
        <v>261.3</v>
      </c>
      <c r="H28" s="2">
        <v>134.1</v>
      </c>
      <c r="I28" s="2">
        <v>5.78</v>
      </c>
      <c r="J28" s="2">
        <v>1.21</v>
      </c>
      <c r="K28" s="2">
        <v>110</v>
      </c>
      <c r="L28" s="2">
        <v>10.9</v>
      </c>
      <c r="M28" s="2">
        <v>4.3</v>
      </c>
      <c r="N28" s="2">
        <v>39</v>
      </c>
      <c r="O28" s="2">
        <v>19.2</v>
      </c>
      <c r="P28" s="2">
        <v>99.6</v>
      </c>
      <c r="Q28" s="2">
        <v>12</v>
      </c>
      <c r="R28" s="2">
        <v>7.383</v>
      </c>
      <c r="S28" s="2">
        <v>97.7</v>
      </c>
      <c r="T28" s="2">
        <v>133.9</v>
      </c>
      <c r="U28" s="2">
        <v>5.73</v>
      </c>
      <c r="V28" s="2">
        <v>1.23</v>
      </c>
      <c r="W28" s="2">
        <v>109</v>
      </c>
      <c r="X28" s="2">
        <v>10.3</v>
      </c>
      <c r="Y28" s="2">
        <v>3.59</v>
      </c>
      <c r="Z28" s="2">
        <v>39</v>
      </c>
      <c r="AA28" s="2">
        <v>17.7</v>
      </c>
      <c r="AB28" s="2">
        <v>97.4</v>
      </c>
      <c r="AD28" s="2">
        <v>45</v>
      </c>
      <c r="AE28" s="2">
        <v>0.3</v>
      </c>
      <c r="AF28" s="2">
        <f t="shared" si="0"/>
        <v>0.0742574257425743</v>
      </c>
      <c r="AG28" s="2">
        <f t="shared" si="22"/>
        <v>0.923958415841584</v>
      </c>
      <c r="AH28" s="2">
        <f t="shared" si="4"/>
        <v>-0.71</v>
      </c>
      <c r="AI28" s="2">
        <f t="shared" si="23"/>
        <v>6.015126</v>
      </c>
      <c r="AJ28" s="2">
        <f t="shared" si="24"/>
        <v>5.392994</v>
      </c>
      <c r="AK28" s="2">
        <v>0</v>
      </c>
      <c r="AL28" s="2">
        <f t="shared" si="25"/>
        <v>-4.939420968</v>
      </c>
    </row>
    <row r="29" spans="1:38">
      <c r="A29" s="7"/>
      <c r="B29" s="7"/>
      <c r="C29" s="5" t="s">
        <v>38</v>
      </c>
      <c r="D29" s="2">
        <v>32.2</v>
      </c>
      <c r="E29" s="2">
        <v>202</v>
      </c>
      <c r="F29" s="2">
        <v>7.496</v>
      </c>
      <c r="G29" s="2">
        <v>250.2</v>
      </c>
      <c r="H29" s="2">
        <v>133</v>
      </c>
      <c r="I29" s="2">
        <v>5.78</v>
      </c>
      <c r="J29" s="2">
        <v>1.2</v>
      </c>
      <c r="K29" s="2">
        <v>109</v>
      </c>
      <c r="L29" s="2">
        <v>12.2</v>
      </c>
      <c r="M29" s="2">
        <v>4.24</v>
      </c>
      <c r="N29" s="2">
        <v>39</v>
      </c>
      <c r="O29" s="2">
        <v>16.3</v>
      </c>
      <c r="P29" s="2">
        <v>99.7</v>
      </c>
      <c r="Q29" s="2">
        <v>12</v>
      </c>
      <c r="R29" s="2">
        <v>7.483</v>
      </c>
      <c r="S29" s="2">
        <v>82.4</v>
      </c>
      <c r="T29" s="2">
        <v>132.9</v>
      </c>
      <c r="U29" s="2">
        <v>5.78</v>
      </c>
      <c r="V29" s="2">
        <v>1.2</v>
      </c>
      <c r="W29" s="2">
        <v>109</v>
      </c>
      <c r="X29" s="2">
        <v>12.1</v>
      </c>
      <c r="Y29" s="2">
        <v>4.19</v>
      </c>
      <c r="Z29" s="2">
        <v>38</v>
      </c>
      <c r="AA29" s="2">
        <v>15.8</v>
      </c>
      <c r="AB29" s="2">
        <v>97.1</v>
      </c>
      <c r="AD29" s="2">
        <v>51</v>
      </c>
      <c r="AE29" s="2">
        <v>0.42</v>
      </c>
      <c r="AF29" s="2">
        <f t="shared" si="0"/>
        <v>0.0601131541725601</v>
      </c>
      <c r="AG29" s="2">
        <f t="shared" si="22"/>
        <v>1.63461089108911</v>
      </c>
      <c r="AH29" s="2">
        <f t="shared" si="4"/>
        <v>-0.0499999999999998</v>
      </c>
      <c r="AI29" s="2">
        <f t="shared" si="23"/>
        <v>5.985942</v>
      </c>
      <c r="AJ29" s="2">
        <f t="shared" si="24"/>
        <v>5.199772</v>
      </c>
      <c r="AK29" s="2">
        <v>0</v>
      </c>
      <c r="AL29" s="2">
        <f t="shared" si="25"/>
        <v>-6.200298384</v>
      </c>
    </row>
    <row r="30" spans="1:38">
      <c r="A30" s="7"/>
      <c r="B30" s="7"/>
      <c r="C30" s="5" t="s">
        <v>39</v>
      </c>
      <c r="D30" s="2">
        <v>32.2</v>
      </c>
      <c r="E30" s="2">
        <v>202</v>
      </c>
      <c r="F30" s="2">
        <v>7.447</v>
      </c>
      <c r="G30" s="2">
        <v>217</v>
      </c>
      <c r="H30" s="2">
        <v>132.4</v>
      </c>
      <c r="I30" s="2">
        <v>5.9</v>
      </c>
      <c r="J30" s="2">
        <v>1.29</v>
      </c>
      <c r="K30" s="2">
        <v>109</v>
      </c>
      <c r="L30" s="2">
        <v>15.1</v>
      </c>
      <c r="M30" s="2">
        <v>5.12</v>
      </c>
      <c r="N30" s="2">
        <v>38</v>
      </c>
      <c r="O30" s="2">
        <v>16.1</v>
      </c>
      <c r="P30" s="2">
        <v>99.5</v>
      </c>
      <c r="Q30" s="2">
        <v>11</v>
      </c>
      <c r="R30" s="2">
        <v>7.433</v>
      </c>
      <c r="S30" s="2">
        <v>68.2</v>
      </c>
      <c r="T30" s="2">
        <v>132.3</v>
      </c>
      <c r="U30" s="2">
        <v>5.92</v>
      </c>
      <c r="V30" s="2">
        <v>1.32</v>
      </c>
      <c r="W30" s="2">
        <v>109</v>
      </c>
      <c r="X30" s="2">
        <v>15.2</v>
      </c>
      <c r="Y30" s="2">
        <v>4.87</v>
      </c>
      <c r="Z30" s="2">
        <v>39</v>
      </c>
      <c r="AA30" s="2">
        <v>16.3</v>
      </c>
      <c r="AB30" s="2">
        <v>94.6</v>
      </c>
      <c r="AD30" s="2">
        <v>51</v>
      </c>
      <c r="AE30" s="2">
        <v>0.42</v>
      </c>
      <c r="AF30" s="2">
        <f t="shared" si="0"/>
        <v>0.0601131541725601</v>
      </c>
      <c r="AG30" s="2">
        <f t="shared" si="22"/>
        <v>1.21430732673267</v>
      </c>
      <c r="AH30" s="2">
        <f t="shared" si="4"/>
        <v>-0.25</v>
      </c>
      <c r="AI30" s="2">
        <f t="shared" si="23"/>
        <v>5.73924</v>
      </c>
      <c r="AJ30" s="2">
        <f t="shared" si="24"/>
        <v>5.155216</v>
      </c>
      <c r="AK30" s="2">
        <v>0</v>
      </c>
      <c r="AL30" s="2">
        <f t="shared" si="25"/>
        <v>-7.060896813</v>
      </c>
    </row>
    <row r="31" s="1" customFormat="1" spans="1:38">
      <c r="A31" s="7"/>
      <c r="B31" s="7"/>
      <c r="C31" s="9" t="s">
        <v>40</v>
      </c>
      <c r="D31" s="1">
        <v>32.2</v>
      </c>
      <c r="E31" s="2">
        <v>202</v>
      </c>
      <c r="F31" s="1">
        <v>7.366</v>
      </c>
      <c r="G31" s="1">
        <v>240.9</v>
      </c>
      <c r="H31" s="1">
        <v>129.5</v>
      </c>
      <c r="I31" s="1">
        <v>6.33</v>
      </c>
      <c r="J31" s="1">
        <v>1.24</v>
      </c>
      <c r="K31" s="1">
        <v>107</v>
      </c>
      <c r="L31" s="1">
        <v>17.4</v>
      </c>
      <c r="M31" s="1">
        <v>6.22</v>
      </c>
      <c r="N31" s="1">
        <v>38</v>
      </c>
      <c r="O31" s="1">
        <v>12.2</v>
      </c>
      <c r="P31" s="1">
        <v>99.5</v>
      </c>
      <c r="Q31" s="1">
        <v>11</v>
      </c>
      <c r="R31" s="1">
        <v>7.324</v>
      </c>
      <c r="S31" s="1">
        <v>66.6</v>
      </c>
      <c r="T31" s="1">
        <v>129.6</v>
      </c>
      <c r="U31" s="1">
        <v>6.32</v>
      </c>
      <c r="V31" s="1">
        <v>1.23</v>
      </c>
      <c r="W31" s="1">
        <v>108</v>
      </c>
      <c r="X31" s="1">
        <v>18</v>
      </c>
      <c r="Y31" s="1">
        <v>6.43</v>
      </c>
      <c r="Z31" s="1">
        <v>37</v>
      </c>
      <c r="AA31" s="1">
        <v>13</v>
      </c>
      <c r="AB31" s="1">
        <v>92.3</v>
      </c>
      <c r="AD31" s="1">
        <v>26</v>
      </c>
      <c r="AE31" s="1">
        <v>0.32</v>
      </c>
      <c r="AF31" s="1">
        <f t="shared" si="0"/>
        <v>0.0402227722772277</v>
      </c>
      <c r="AG31" s="2">
        <f t="shared" si="22"/>
        <v>1.63269069306931</v>
      </c>
      <c r="AH31" s="1">
        <f t="shared" si="4"/>
        <v>0.21</v>
      </c>
      <c r="AI31" s="2">
        <f t="shared" si="23"/>
        <v>5.81333</v>
      </c>
      <c r="AJ31" s="2">
        <f t="shared" si="24"/>
        <v>4.782694</v>
      </c>
      <c r="AK31" s="1">
        <v>0</v>
      </c>
      <c r="AL31" s="2">
        <f t="shared" si="25"/>
        <v>-11.798409114</v>
      </c>
    </row>
    <row r="32" spans="1:38">
      <c r="A32" s="4">
        <v>7</v>
      </c>
      <c r="B32" s="4" t="s">
        <v>46</v>
      </c>
      <c r="C32" s="5" t="s">
        <v>36</v>
      </c>
      <c r="D32" s="2">
        <v>29.5</v>
      </c>
      <c r="E32" s="2">
        <v>215</v>
      </c>
      <c r="F32" s="2">
        <v>7.246</v>
      </c>
      <c r="G32" s="2">
        <v>79</v>
      </c>
      <c r="H32" s="2">
        <v>131.8</v>
      </c>
      <c r="I32" s="2">
        <v>3.68</v>
      </c>
      <c r="J32" s="2">
        <v>0.78</v>
      </c>
      <c r="K32" s="2">
        <v>108</v>
      </c>
      <c r="M32" s="2">
        <v>1.19</v>
      </c>
      <c r="N32" s="2">
        <v>47</v>
      </c>
      <c r="O32" s="2">
        <v>18.6</v>
      </c>
      <c r="P32" s="2">
        <v>93.7</v>
      </c>
      <c r="Q32" s="2">
        <v>14</v>
      </c>
      <c r="R32" s="2">
        <v>7.241</v>
      </c>
      <c r="S32" s="2">
        <v>49.8</v>
      </c>
      <c r="T32" s="2">
        <v>132.7</v>
      </c>
      <c r="U32" s="2">
        <v>3.55</v>
      </c>
      <c r="V32" s="2">
        <v>0.78</v>
      </c>
      <c r="W32" s="2">
        <v>109</v>
      </c>
      <c r="Y32" s="2">
        <v>1.25</v>
      </c>
      <c r="Z32" s="2">
        <v>47</v>
      </c>
      <c r="AA32" s="2">
        <v>20</v>
      </c>
      <c r="AB32" s="2">
        <v>78.4</v>
      </c>
      <c r="AC32" s="2">
        <v>14</v>
      </c>
      <c r="AD32" s="2">
        <v>30</v>
      </c>
      <c r="AE32" s="2">
        <v>0.322</v>
      </c>
      <c r="AF32" s="2">
        <f t="shared" si="0"/>
        <v>0.0433338148201647</v>
      </c>
      <c r="AG32" s="2">
        <f t="shared" ref="AG32:AG36" si="26">AE32*1000*((1.34*N32/10*P32/100+0.0031*G32)-(1.34*Z32/10*AB32/100+0.0031*S32))/(E32/100)/100</f>
        <v>1.57871957209302</v>
      </c>
      <c r="AH32" s="2">
        <f t="shared" si="4"/>
        <v>0.0600000000000001</v>
      </c>
      <c r="AI32" s="2">
        <f t="shared" ref="AI32:AI36" si="27">(1.34*N32/10*P32/100+0.0031*G32)</f>
        <v>6.146126</v>
      </c>
      <c r="AJ32" s="2">
        <f t="shared" ref="AJ32:AJ36" si="28">(1.34*Z32/10*AB32/100+0.0031*S32)</f>
        <v>5.092012</v>
      </c>
      <c r="AK32" s="2">
        <v>1</v>
      </c>
      <c r="AL32" s="2">
        <f t="shared" ref="AL32:AL36" si="29">0.9287*(O32-24.4+14.83*(F32-7.4))</f>
        <v>-7.507443634</v>
      </c>
    </row>
    <row r="33" spans="1:38">
      <c r="A33" s="7"/>
      <c r="B33" s="7"/>
      <c r="C33" s="5" t="s">
        <v>37</v>
      </c>
      <c r="D33" s="2">
        <v>29.5</v>
      </c>
      <c r="E33" s="2">
        <v>215</v>
      </c>
      <c r="F33" s="2">
        <v>7.346</v>
      </c>
      <c r="G33" s="2">
        <v>126.2</v>
      </c>
      <c r="H33" s="2">
        <v>133.4</v>
      </c>
      <c r="I33" s="2">
        <v>3.03</v>
      </c>
      <c r="J33" s="2">
        <v>1.62</v>
      </c>
      <c r="K33" s="2">
        <v>112</v>
      </c>
      <c r="L33" s="2">
        <v>6.3</v>
      </c>
      <c r="M33" s="2">
        <v>1.89</v>
      </c>
      <c r="N33" s="2">
        <v>46</v>
      </c>
      <c r="O33" s="2">
        <v>21.1</v>
      </c>
      <c r="P33" s="2">
        <v>98.4</v>
      </c>
      <c r="Q33" s="2">
        <v>14</v>
      </c>
      <c r="R33" s="2">
        <v>7.339</v>
      </c>
      <c r="S33" s="2">
        <v>38.7</v>
      </c>
      <c r="T33" s="2">
        <v>133.3</v>
      </c>
      <c r="U33" s="2">
        <v>3.03</v>
      </c>
      <c r="V33" s="2">
        <v>1.34</v>
      </c>
      <c r="W33" s="2">
        <v>110</v>
      </c>
      <c r="X33" s="2">
        <v>5.8</v>
      </c>
      <c r="Y33" s="2">
        <v>1.59</v>
      </c>
      <c r="Z33" s="2">
        <v>48</v>
      </c>
      <c r="AA33" s="2">
        <v>18.1</v>
      </c>
      <c r="AB33" s="2">
        <v>70.5</v>
      </c>
      <c r="AC33" s="2">
        <v>14</v>
      </c>
      <c r="AD33" s="2">
        <v>32</v>
      </c>
      <c r="AE33" s="2">
        <v>0.375</v>
      </c>
      <c r="AF33" s="2">
        <f t="shared" si="0"/>
        <v>0.0396899224806202</v>
      </c>
      <c r="AG33" s="2">
        <f t="shared" si="26"/>
        <v>3.14313837209302</v>
      </c>
      <c r="AH33" s="2">
        <f t="shared" si="4"/>
        <v>-0.3</v>
      </c>
      <c r="AI33" s="2">
        <f t="shared" si="27"/>
        <v>6.456596</v>
      </c>
      <c r="AJ33" s="2">
        <f t="shared" si="28"/>
        <v>4.65453</v>
      </c>
      <c r="AK33" s="2">
        <v>1</v>
      </c>
      <c r="AL33" s="2">
        <f t="shared" si="29"/>
        <v>-3.808431534</v>
      </c>
    </row>
    <row r="34" spans="1:38">
      <c r="A34" s="7"/>
      <c r="B34" s="7"/>
      <c r="C34" s="5" t="s">
        <v>38</v>
      </c>
      <c r="D34" s="2">
        <v>29.5</v>
      </c>
      <c r="E34" s="2">
        <v>215</v>
      </c>
      <c r="F34" s="2">
        <v>7.401</v>
      </c>
      <c r="G34" s="2">
        <v>120.2</v>
      </c>
      <c r="H34" s="2">
        <v>134</v>
      </c>
      <c r="I34" s="2">
        <v>2.68</v>
      </c>
      <c r="J34" s="2">
        <v>1.33</v>
      </c>
      <c r="K34" s="2">
        <v>111</v>
      </c>
      <c r="L34" s="2">
        <v>6</v>
      </c>
      <c r="M34" s="2">
        <v>1.9</v>
      </c>
      <c r="N34" s="2">
        <v>49</v>
      </c>
      <c r="O34" s="2">
        <v>19.1</v>
      </c>
      <c r="P34" s="2">
        <v>98.4</v>
      </c>
      <c r="Q34" s="2">
        <v>14</v>
      </c>
      <c r="R34" s="2">
        <v>7.389</v>
      </c>
      <c r="S34" s="2">
        <v>41.9</v>
      </c>
      <c r="T34" s="2">
        <v>134.1</v>
      </c>
      <c r="U34" s="2">
        <v>2.74</v>
      </c>
      <c r="V34" s="2">
        <v>1.36</v>
      </c>
      <c r="W34" s="2">
        <v>111</v>
      </c>
      <c r="X34" s="2">
        <v>5.7</v>
      </c>
      <c r="Y34" s="2">
        <v>1.57</v>
      </c>
      <c r="Z34" s="2">
        <v>49</v>
      </c>
      <c r="AA34" s="2">
        <v>17.2</v>
      </c>
      <c r="AB34" s="2">
        <v>78</v>
      </c>
      <c r="AC34" s="2">
        <v>14</v>
      </c>
      <c r="AD34" s="2">
        <v>39</v>
      </c>
      <c r="AE34" s="2">
        <v>0.336</v>
      </c>
      <c r="AF34" s="2">
        <f t="shared" si="0"/>
        <v>0.0539867109634551</v>
      </c>
      <c r="AG34" s="2">
        <f t="shared" si="26"/>
        <v>2.47263806511628</v>
      </c>
      <c r="AH34" s="2">
        <f t="shared" si="4"/>
        <v>-0.33</v>
      </c>
      <c r="AI34" s="2">
        <f t="shared" si="27"/>
        <v>6.833564</v>
      </c>
      <c r="AJ34" s="2">
        <f t="shared" si="28"/>
        <v>5.25137</v>
      </c>
      <c r="AK34" s="2">
        <v>1</v>
      </c>
      <c r="AL34" s="2">
        <f t="shared" si="29"/>
        <v>-4.90833737900001</v>
      </c>
    </row>
    <row r="35" spans="1:38">
      <c r="A35" s="7"/>
      <c r="B35" s="7"/>
      <c r="C35" s="5" t="s">
        <v>39</v>
      </c>
      <c r="D35" s="2">
        <v>29.5</v>
      </c>
      <c r="E35" s="2">
        <v>215</v>
      </c>
      <c r="F35" s="2">
        <v>7.422</v>
      </c>
      <c r="G35" s="2">
        <v>116.5</v>
      </c>
      <c r="H35" s="2">
        <v>134.5</v>
      </c>
      <c r="I35" s="2">
        <v>2.74</v>
      </c>
      <c r="J35" s="2">
        <v>1.3</v>
      </c>
      <c r="K35" s="2">
        <v>112</v>
      </c>
      <c r="L35" s="2">
        <v>6.2</v>
      </c>
      <c r="M35" s="2">
        <v>1.3</v>
      </c>
      <c r="N35" s="2">
        <v>48</v>
      </c>
      <c r="O35" s="2">
        <v>18.3</v>
      </c>
      <c r="P35" s="2">
        <v>98.4</v>
      </c>
      <c r="Q35" s="2">
        <v>14</v>
      </c>
      <c r="R35" s="2">
        <v>7.413</v>
      </c>
      <c r="S35" s="2">
        <v>36.5</v>
      </c>
      <c r="T35" s="2">
        <v>134.8</v>
      </c>
      <c r="U35" s="2">
        <v>2.77</v>
      </c>
      <c r="V35" s="2">
        <v>1.32</v>
      </c>
      <c r="W35" s="2">
        <v>112</v>
      </c>
      <c r="X35" s="2">
        <v>6.2</v>
      </c>
      <c r="Y35" s="2">
        <v>1.22</v>
      </c>
      <c r="Z35" s="2">
        <v>47</v>
      </c>
      <c r="AA35" s="2">
        <v>18.8</v>
      </c>
      <c r="AB35" s="2">
        <v>71.6</v>
      </c>
      <c r="AC35" s="2">
        <v>14</v>
      </c>
      <c r="AD35" s="2">
        <v>36</v>
      </c>
      <c r="AE35" s="2">
        <v>0.302</v>
      </c>
      <c r="AF35" s="2">
        <f t="shared" si="0"/>
        <v>0.0554443246573233</v>
      </c>
      <c r="AG35" s="2">
        <f t="shared" si="26"/>
        <v>2.90442530232558</v>
      </c>
      <c r="AH35" s="2">
        <f t="shared" si="4"/>
        <v>-0.0800000000000001</v>
      </c>
      <c r="AI35" s="2">
        <f t="shared" si="27"/>
        <v>6.690238</v>
      </c>
      <c r="AJ35" s="2">
        <f t="shared" si="28"/>
        <v>4.622518</v>
      </c>
      <c r="AK35" s="2">
        <v>1</v>
      </c>
      <c r="AL35" s="2">
        <f t="shared" si="29"/>
        <v>-5.36207233800001</v>
      </c>
    </row>
    <row r="36" spans="1:38">
      <c r="A36" s="7"/>
      <c r="B36" s="7"/>
      <c r="C36" s="8" t="s">
        <v>40</v>
      </c>
      <c r="D36" s="2">
        <v>29.5</v>
      </c>
      <c r="E36" s="2">
        <v>215</v>
      </c>
      <c r="F36" s="2">
        <v>7.488</v>
      </c>
      <c r="G36" s="2">
        <v>129</v>
      </c>
      <c r="H36" s="2">
        <v>132.8</v>
      </c>
      <c r="I36" s="2">
        <v>3.47</v>
      </c>
      <c r="J36" s="2">
        <v>1.19</v>
      </c>
      <c r="K36" s="2">
        <v>113</v>
      </c>
      <c r="L36" s="2">
        <v>5.3</v>
      </c>
      <c r="M36" s="2">
        <v>0.82</v>
      </c>
      <c r="N36" s="2">
        <v>48</v>
      </c>
      <c r="O36" s="2">
        <v>18.9</v>
      </c>
      <c r="P36" s="2">
        <v>98.8</v>
      </c>
      <c r="Q36" s="2">
        <v>14</v>
      </c>
      <c r="R36" s="2">
        <v>7.471</v>
      </c>
      <c r="S36" s="2">
        <v>44.6</v>
      </c>
      <c r="T36" s="2">
        <v>132.6</v>
      </c>
      <c r="U36" s="2">
        <v>3.5</v>
      </c>
      <c r="V36" s="2">
        <v>1.2</v>
      </c>
      <c r="W36" s="2">
        <v>112</v>
      </c>
      <c r="X36" s="2">
        <v>5.2</v>
      </c>
      <c r="Y36" s="2">
        <v>0.74</v>
      </c>
      <c r="Z36" s="2">
        <v>48</v>
      </c>
      <c r="AA36" s="2">
        <v>19</v>
      </c>
      <c r="AB36" s="2">
        <v>84.6</v>
      </c>
      <c r="AC36" s="2">
        <v>14</v>
      </c>
      <c r="AD36" s="2">
        <v>32</v>
      </c>
      <c r="AE36" s="2">
        <v>0.373</v>
      </c>
      <c r="AF36" s="2">
        <f t="shared" si="0"/>
        <v>0.0399027370783715</v>
      </c>
      <c r="AG36" s="2">
        <f t="shared" si="26"/>
        <v>2.03846061395349</v>
      </c>
      <c r="AH36" s="2">
        <f t="shared" si="4"/>
        <v>-0.08</v>
      </c>
      <c r="AI36" s="2">
        <f t="shared" si="27"/>
        <v>6.754716</v>
      </c>
      <c r="AJ36" s="2">
        <f t="shared" si="28"/>
        <v>5.579732</v>
      </c>
      <c r="AK36" s="2">
        <v>1</v>
      </c>
      <c r="AL36" s="2">
        <f t="shared" si="29"/>
        <v>-3.895859352</v>
      </c>
    </row>
    <row r="37" spans="1:38">
      <c r="A37" s="4">
        <v>8</v>
      </c>
      <c r="B37" s="4" t="s">
        <v>47</v>
      </c>
      <c r="C37" s="5" t="s">
        <v>36</v>
      </c>
      <c r="D37" s="2">
        <v>32.7</v>
      </c>
      <c r="E37" s="2">
        <v>207</v>
      </c>
      <c r="F37" s="2">
        <v>7.362</v>
      </c>
      <c r="G37" s="2">
        <v>249.7</v>
      </c>
      <c r="H37" s="2">
        <v>135.3</v>
      </c>
      <c r="I37" s="2">
        <v>4.36</v>
      </c>
      <c r="J37" s="2">
        <v>0.78</v>
      </c>
      <c r="K37" s="2">
        <v>109</v>
      </c>
      <c r="L37" s="2">
        <v>10.2</v>
      </c>
      <c r="M37" s="2">
        <v>3.9</v>
      </c>
      <c r="N37" s="2">
        <v>43</v>
      </c>
      <c r="O37" s="2">
        <v>21.6</v>
      </c>
      <c r="P37" s="2">
        <v>99.5</v>
      </c>
      <c r="Q37" s="2">
        <v>13</v>
      </c>
      <c r="R37" s="2">
        <v>7.338</v>
      </c>
      <c r="S37" s="2">
        <v>50.2</v>
      </c>
      <c r="T37" s="2">
        <v>135.3</v>
      </c>
      <c r="U37" s="2">
        <v>4.31</v>
      </c>
      <c r="V37" s="2">
        <v>0.78</v>
      </c>
      <c r="W37" s="2">
        <v>109</v>
      </c>
      <c r="X37" s="2">
        <v>10.2</v>
      </c>
      <c r="Y37" s="2">
        <v>3.84</v>
      </c>
      <c r="Z37" s="2">
        <v>44</v>
      </c>
      <c r="AA37" s="2">
        <v>22.4</v>
      </c>
      <c r="AB37" s="2">
        <v>83.2</v>
      </c>
      <c r="AC37" s="2">
        <v>13</v>
      </c>
      <c r="AD37" s="2">
        <v>36</v>
      </c>
      <c r="AE37" s="2">
        <v>0.49</v>
      </c>
      <c r="AF37" s="2">
        <f t="shared" ref="AF37:AF41" si="30">AD37/AE37/1000/E37*100</f>
        <v>0.0354924578527063</v>
      </c>
      <c r="AG37" s="2">
        <f t="shared" ref="AG37:AG41" si="31">AE37*1000*((1.34*N37/10*P37/100+0.0031*G37)-(1.34*Z37/10*AB37/100+0.0031*S37))/(E37/100)/100</f>
        <v>3.42329623188406</v>
      </c>
      <c r="AH37" s="2">
        <f t="shared" ref="AH37:AH41" si="32">Y37-M37</f>
        <v>-0.0600000000000001</v>
      </c>
      <c r="AI37" s="2">
        <f t="shared" ref="AI37:AI41" si="33">(1.34*N37/10*P37/100+0.0031*G37)</f>
        <v>6.50726</v>
      </c>
      <c r="AJ37" s="2">
        <f t="shared" ref="AJ37:AJ41" si="34">(1.34*Z37/10*AB37/100+0.0031*S37)</f>
        <v>5.061092</v>
      </c>
      <c r="AK37" s="2">
        <v>1</v>
      </c>
      <c r="AL37" s="2">
        <f t="shared" ref="AL37:AL41" si="35">0.9287*(O37-24.4+14.83*(F37-7.4))</f>
        <v>-3.123719598</v>
      </c>
    </row>
    <row r="38" spans="1:38">
      <c r="A38" s="7"/>
      <c r="B38" s="7"/>
      <c r="C38" s="5" t="s">
        <v>37</v>
      </c>
      <c r="D38" s="2">
        <v>32.7</v>
      </c>
      <c r="E38" s="2">
        <v>207</v>
      </c>
      <c r="F38" s="2">
        <v>7.409</v>
      </c>
      <c r="G38" s="2">
        <v>259.4</v>
      </c>
      <c r="H38" s="2">
        <v>135</v>
      </c>
      <c r="I38" s="2">
        <v>4.06</v>
      </c>
      <c r="J38" s="2">
        <v>1.23</v>
      </c>
      <c r="K38" s="2">
        <v>110</v>
      </c>
      <c r="L38" s="2">
        <v>10.7</v>
      </c>
      <c r="M38" s="2">
        <v>4.38</v>
      </c>
      <c r="N38" s="2">
        <v>45</v>
      </c>
      <c r="O38" s="2">
        <v>21.1</v>
      </c>
      <c r="P38" s="2">
        <v>99.6</v>
      </c>
      <c r="Q38" s="2">
        <v>13</v>
      </c>
      <c r="R38" s="2">
        <v>7.381</v>
      </c>
      <c r="S38" s="2">
        <v>45.3</v>
      </c>
      <c r="T38" s="2">
        <v>134.8</v>
      </c>
      <c r="U38" s="2">
        <v>4</v>
      </c>
      <c r="V38" s="2">
        <v>1.27</v>
      </c>
      <c r="W38" s="2">
        <v>110</v>
      </c>
      <c r="X38" s="2">
        <v>10.5</v>
      </c>
      <c r="Y38" s="2">
        <v>3.89</v>
      </c>
      <c r="Z38" s="2">
        <v>45</v>
      </c>
      <c r="AA38" s="2">
        <v>20</v>
      </c>
      <c r="AB38" s="2">
        <v>81</v>
      </c>
      <c r="AC38" s="2">
        <v>13</v>
      </c>
      <c r="AD38" s="2">
        <v>36</v>
      </c>
      <c r="AE38" s="2">
        <v>0.57</v>
      </c>
      <c r="AF38" s="2">
        <f t="shared" si="30"/>
        <v>0.030511060259344</v>
      </c>
      <c r="AG38" s="2">
        <f t="shared" si="31"/>
        <v>4.91601594202899</v>
      </c>
      <c r="AH38" s="2">
        <f t="shared" si="32"/>
        <v>-0.49</v>
      </c>
      <c r="AI38" s="2">
        <f t="shared" si="33"/>
        <v>6.81002</v>
      </c>
      <c r="AJ38" s="2">
        <f t="shared" si="34"/>
        <v>5.02473</v>
      </c>
      <c r="AK38" s="2">
        <v>1</v>
      </c>
      <c r="AL38" s="2">
        <f t="shared" si="35"/>
        <v>-2.940756411</v>
      </c>
    </row>
    <row r="39" spans="1:38">
      <c r="A39" s="7"/>
      <c r="B39" s="7"/>
      <c r="C39" s="5" t="s">
        <v>38</v>
      </c>
      <c r="D39" s="2">
        <v>32.7</v>
      </c>
      <c r="E39" s="2">
        <v>207</v>
      </c>
      <c r="F39" s="2">
        <v>7.459</v>
      </c>
      <c r="G39" s="2">
        <v>260.2</v>
      </c>
      <c r="H39" s="2">
        <v>134.2</v>
      </c>
      <c r="I39" s="2">
        <v>3.93</v>
      </c>
      <c r="J39" s="2">
        <v>1.21</v>
      </c>
      <c r="K39" s="2">
        <v>110</v>
      </c>
      <c r="L39" s="2">
        <v>12.6</v>
      </c>
      <c r="M39" s="2">
        <v>4.64</v>
      </c>
      <c r="N39" s="2">
        <v>45</v>
      </c>
      <c r="O39" s="2">
        <v>20.9</v>
      </c>
      <c r="P39" s="2">
        <v>99.7</v>
      </c>
      <c r="Q39" s="2">
        <v>13</v>
      </c>
      <c r="R39" s="2">
        <v>7.424</v>
      </c>
      <c r="S39" s="2">
        <v>55.9</v>
      </c>
      <c r="T39" s="2">
        <v>134</v>
      </c>
      <c r="U39" s="2">
        <v>3.93</v>
      </c>
      <c r="V39" s="2">
        <v>1.22</v>
      </c>
      <c r="W39" s="2">
        <v>110</v>
      </c>
      <c r="X39" s="2">
        <v>12.6</v>
      </c>
      <c r="Y39" s="2">
        <v>4.56</v>
      </c>
      <c r="Z39" s="2">
        <v>46</v>
      </c>
      <c r="AA39" s="2">
        <v>21.4</v>
      </c>
      <c r="AB39" s="2">
        <v>90.1</v>
      </c>
      <c r="AC39" s="2">
        <v>14</v>
      </c>
      <c r="AD39" s="2">
        <v>50</v>
      </c>
      <c r="AE39" s="2">
        <v>0.868</v>
      </c>
      <c r="AF39" s="2">
        <f t="shared" si="30"/>
        <v>0.0278278679400699</v>
      </c>
      <c r="AG39" s="2">
        <f t="shared" si="31"/>
        <v>4.57681723671498</v>
      </c>
      <c r="AH39" s="2">
        <f t="shared" si="32"/>
        <v>-0.0800000000000001</v>
      </c>
      <c r="AI39" s="2">
        <f t="shared" si="33"/>
        <v>6.81853</v>
      </c>
      <c r="AJ39" s="2">
        <f t="shared" si="34"/>
        <v>5.727054</v>
      </c>
      <c r="AK39" s="2">
        <v>1</v>
      </c>
      <c r="AL39" s="2">
        <f t="shared" si="35"/>
        <v>-2.43786536100001</v>
      </c>
    </row>
    <row r="40" spans="1:38">
      <c r="A40" s="7"/>
      <c r="B40" s="7"/>
      <c r="C40" s="5" t="s">
        <v>39</v>
      </c>
      <c r="D40" s="2">
        <v>32.7</v>
      </c>
      <c r="E40" s="2">
        <v>207</v>
      </c>
      <c r="AD40" s="2">
        <v>49</v>
      </c>
      <c r="AE40" s="2">
        <v>0.867</v>
      </c>
      <c r="AF40" s="2">
        <f t="shared" si="30"/>
        <v>0.0273027653800935</v>
      </c>
      <c r="AG40" s="2">
        <f t="shared" si="31"/>
        <v>0</v>
      </c>
      <c r="AH40" s="2">
        <f t="shared" si="32"/>
        <v>0</v>
      </c>
      <c r="AI40" s="2">
        <f t="shared" si="33"/>
        <v>0</v>
      </c>
      <c r="AJ40" s="2">
        <f t="shared" si="34"/>
        <v>0</v>
      </c>
      <c r="AK40" s="2">
        <v>1</v>
      </c>
      <c r="AL40" s="2">
        <f t="shared" si="35"/>
        <v>-124.5776754</v>
      </c>
    </row>
    <row r="41" spans="1:38">
      <c r="A41" s="7"/>
      <c r="B41" s="7"/>
      <c r="C41" s="8" t="s">
        <v>40</v>
      </c>
      <c r="D41" s="2">
        <v>32.7</v>
      </c>
      <c r="E41" s="2">
        <v>207</v>
      </c>
      <c r="F41" s="2">
        <v>7.358</v>
      </c>
      <c r="G41" s="2">
        <v>238.8</v>
      </c>
      <c r="H41" s="2">
        <v>133.8</v>
      </c>
      <c r="I41" s="2">
        <v>4.09</v>
      </c>
      <c r="J41" s="2">
        <v>1.22</v>
      </c>
      <c r="K41" s="2">
        <v>108</v>
      </c>
      <c r="L41" s="2">
        <v>14.6</v>
      </c>
      <c r="M41" s="2">
        <v>3.84</v>
      </c>
      <c r="N41" s="2">
        <v>45</v>
      </c>
      <c r="O41" s="2">
        <v>21.3</v>
      </c>
      <c r="P41" s="2">
        <v>99.5</v>
      </c>
      <c r="Q41" s="2">
        <v>13</v>
      </c>
      <c r="R41" s="2">
        <v>7.428</v>
      </c>
      <c r="S41" s="2">
        <v>50.3</v>
      </c>
      <c r="T41" s="2">
        <v>133.6</v>
      </c>
      <c r="U41" s="2">
        <v>4.65</v>
      </c>
      <c r="V41" s="2">
        <v>1.16</v>
      </c>
      <c r="W41" s="2">
        <v>108</v>
      </c>
      <c r="X41" s="2">
        <v>16.1</v>
      </c>
      <c r="Y41" s="2">
        <v>3.04</v>
      </c>
      <c r="Z41" s="2">
        <v>44</v>
      </c>
      <c r="AA41" s="2">
        <v>20.9</v>
      </c>
      <c r="AB41" s="2">
        <v>87.1</v>
      </c>
      <c r="AC41" s="2">
        <v>13</v>
      </c>
      <c r="AD41" s="2">
        <v>41</v>
      </c>
      <c r="AE41" s="2">
        <v>0.823</v>
      </c>
      <c r="AF41" s="2">
        <f t="shared" si="30"/>
        <v>0.0240665410510622</v>
      </c>
      <c r="AG41" s="2">
        <f t="shared" si="31"/>
        <v>5.76014121739131</v>
      </c>
      <c r="AH41" s="2">
        <f t="shared" si="32"/>
        <v>-0.8</v>
      </c>
      <c r="AI41" s="2">
        <f t="shared" si="33"/>
        <v>6.74013</v>
      </c>
      <c r="AJ41" s="2">
        <f t="shared" si="34"/>
        <v>5.291346</v>
      </c>
      <c r="AK41" s="2">
        <v>1</v>
      </c>
      <c r="AL41" s="2">
        <f t="shared" si="35"/>
        <v>-3.45742008200001</v>
      </c>
    </row>
    <row r="42" spans="1:38">
      <c r="A42" s="4">
        <v>9</v>
      </c>
      <c r="B42" s="4" t="s">
        <v>48</v>
      </c>
      <c r="C42" s="5" t="s">
        <v>36</v>
      </c>
      <c r="D42" s="2">
        <v>42.7</v>
      </c>
      <c r="E42" s="2">
        <v>245</v>
      </c>
      <c r="R42" s="2">
        <v>7.141</v>
      </c>
      <c r="S42" s="2">
        <v>64.3</v>
      </c>
      <c r="T42" s="2">
        <v>134.8</v>
      </c>
      <c r="U42" s="2">
        <v>3.52</v>
      </c>
      <c r="V42" s="2">
        <v>0.78</v>
      </c>
      <c r="W42" s="2">
        <v>107</v>
      </c>
      <c r="X42" s="2">
        <v>9.4</v>
      </c>
      <c r="Y42" s="2">
        <v>3.24</v>
      </c>
      <c r="Z42" s="2">
        <v>48</v>
      </c>
      <c r="AA42" s="2">
        <v>26.5</v>
      </c>
      <c r="AB42" s="2">
        <v>84.3</v>
      </c>
      <c r="AC42" s="2">
        <v>14</v>
      </c>
      <c r="AD42" s="2">
        <v>35</v>
      </c>
      <c r="AE42" s="2">
        <v>0.647</v>
      </c>
      <c r="AF42" s="2">
        <f t="shared" ref="AF42:AF46" si="36">AD42/AE42/1000/E42*100</f>
        <v>0.0220799293442261</v>
      </c>
      <c r="AG42" s="2">
        <f t="shared" ref="AG42:AG46" si="37">AE42*1000*((1.34*N42/10*P42/100+0.0031*G42)-(1.34*Z42/10*AB42/100+0.0031*S42))/(E42/100)/100</f>
        <v>-14.8453648244898</v>
      </c>
      <c r="AH42" s="2">
        <f t="shared" ref="AH42:AH46" si="38">Y42-M42</f>
        <v>3.24</v>
      </c>
      <c r="AI42" s="2">
        <f t="shared" ref="AI42:AI46" si="39">(1.34*N42/10*P42/100+0.0031*G42)</f>
        <v>0</v>
      </c>
      <c r="AJ42" s="2">
        <f t="shared" ref="AJ42:AJ46" si="40">(1.34*Z42/10*AB42/100+0.0031*S42)</f>
        <v>5.621506</v>
      </c>
      <c r="AK42" s="2">
        <v>1</v>
      </c>
      <c r="AL42" s="2">
        <f t="shared" ref="AL42:AL46" si="41">0.9287*(O42-24.4+14.83*(F42-7.4))</f>
        <v>-124.5776754</v>
      </c>
    </row>
    <row r="43" spans="1:38">
      <c r="A43" s="7"/>
      <c r="B43" s="7"/>
      <c r="C43" s="5" t="s">
        <v>37</v>
      </c>
      <c r="D43" s="2">
        <v>42.7</v>
      </c>
      <c r="E43" s="2">
        <v>245</v>
      </c>
      <c r="F43" s="2">
        <v>7.41</v>
      </c>
      <c r="G43" s="2">
        <v>262.9</v>
      </c>
      <c r="H43" s="2">
        <v>134.4</v>
      </c>
      <c r="I43" s="2">
        <v>3.37</v>
      </c>
      <c r="J43" s="2">
        <v>1.31</v>
      </c>
      <c r="K43" s="2">
        <v>109</v>
      </c>
      <c r="L43" s="2">
        <v>9.8</v>
      </c>
      <c r="M43" s="2">
        <v>3.68</v>
      </c>
      <c r="N43" s="2">
        <v>49</v>
      </c>
      <c r="O43" s="2">
        <v>21.9</v>
      </c>
      <c r="P43" s="2">
        <v>99.6</v>
      </c>
      <c r="Q43" s="2">
        <v>14</v>
      </c>
      <c r="R43" s="2">
        <v>7.381</v>
      </c>
      <c r="S43" s="2">
        <v>45.5</v>
      </c>
      <c r="T43" s="2">
        <v>134.1</v>
      </c>
      <c r="U43" s="2">
        <v>3.37</v>
      </c>
      <c r="V43" s="2">
        <v>1.32</v>
      </c>
      <c r="W43" s="2">
        <v>109</v>
      </c>
      <c r="X43" s="2">
        <v>9.6</v>
      </c>
      <c r="Y43" s="2">
        <v>3.24</v>
      </c>
      <c r="Z43" s="2">
        <v>49</v>
      </c>
      <c r="AA43" s="2">
        <v>21.7</v>
      </c>
      <c r="AB43" s="2">
        <v>81</v>
      </c>
      <c r="AC43" s="2">
        <v>14</v>
      </c>
      <c r="AD43" s="2">
        <v>40</v>
      </c>
      <c r="AE43" s="2">
        <v>0.59</v>
      </c>
      <c r="AF43" s="2">
        <f t="shared" si="36"/>
        <v>0.0276720857834659</v>
      </c>
      <c r="AG43" s="2">
        <f t="shared" si="37"/>
        <v>4.56398955102041</v>
      </c>
      <c r="AH43" s="2">
        <f t="shared" si="38"/>
        <v>-0.44</v>
      </c>
      <c r="AI43" s="2">
        <f t="shared" si="39"/>
        <v>7.354726</v>
      </c>
      <c r="AJ43" s="2">
        <f t="shared" si="40"/>
        <v>5.45951</v>
      </c>
      <c r="AK43" s="2">
        <v>1</v>
      </c>
      <c r="AL43" s="2">
        <f t="shared" si="41"/>
        <v>-2.18402379</v>
      </c>
    </row>
    <row r="44" spans="1:38">
      <c r="A44" s="7"/>
      <c r="B44" s="7"/>
      <c r="C44" s="5" t="s">
        <v>38</v>
      </c>
      <c r="D44" s="2">
        <v>42.7</v>
      </c>
      <c r="E44" s="2">
        <v>245</v>
      </c>
      <c r="F44" s="2">
        <v>7.37</v>
      </c>
      <c r="G44" s="2">
        <v>218.8</v>
      </c>
      <c r="H44" s="2">
        <v>134.2</v>
      </c>
      <c r="I44" s="2">
        <v>3.38</v>
      </c>
      <c r="J44" s="2">
        <v>1.31</v>
      </c>
      <c r="K44" s="2">
        <v>109</v>
      </c>
      <c r="L44" s="2">
        <v>11.2</v>
      </c>
      <c r="M44" s="2">
        <v>2.51</v>
      </c>
      <c r="N44" s="2">
        <v>49</v>
      </c>
      <c r="O44" s="2">
        <v>23.5</v>
      </c>
      <c r="P44" s="2">
        <v>99.4</v>
      </c>
      <c r="Q44" s="2">
        <v>14</v>
      </c>
      <c r="R44" s="2">
        <v>7.34</v>
      </c>
      <c r="S44" s="2">
        <v>50.9</v>
      </c>
      <c r="T44" s="2">
        <v>134.1</v>
      </c>
      <c r="U44" s="2">
        <v>3.39</v>
      </c>
      <c r="V44" s="2">
        <v>1.31</v>
      </c>
      <c r="W44" s="2">
        <v>109</v>
      </c>
      <c r="X44" s="2">
        <v>11.2</v>
      </c>
      <c r="Y44" s="2">
        <v>2.31</v>
      </c>
      <c r="Z44" s="2">
        <v>50</v>
      </c>
      <c r="AA44" s="2">
        <v>23.3</v>
      </c>
      <c r="AB44" s="2">
        <v>83.8</v>
      </c>
      <c r="AC44" s="2">
        <v>15</v>
      </c>
      <c r="AD44" s="2">
        <v>40</v>
      </c>
      <c r="AE44" s="2">
        <v>0.552</v>
      </c>
      <c r="AF44" s="2">
        <f t="shared" si="36"/>
        <v>0.0295770482105886</v>
      </c>
      <c r="AG44" s="2">
        <f t="shared" si="37"/>
        <v>3.22749668571429</v>
      </c>
      <c r="AH44" s="2">
        <f t="shared" si="38"/>
        <v>-0.2</v>
      </c>
      <c r="AI44" s="2">
        <f t="shared" si="39"/>
        <v>7.204884</v>
      </c>
      <c r="AJ44" s="2">
        <f t="shared" si="40"/>
        <v>5.77239</v>
      </c>
      <c r="AK44" s="2">
        <v>1</v>
      </c>
      <c r="AL44" s="2">
        <f t="shared" si="41"/>
        <v>-1.24900863</v>
      </c>
    </row>
    <row r="45" spans="1:38">
      <c r="A45" s="7"/>
      <c r="B45" s="7"/>
      <c r="C45" s="5" t="s">
        <v>39</v>
      </c>
      <c r="D45" s="2">
        <v>42.7</v>
      </c>
      <c r="E45" s="2">
        <v>245</v>
      </c>
      <c r="F45" s="2">
        <v>7.461</v>
      </c>
      <c r="G45" s="2">
        <v>257.1</v>
      </c>
      <c r="H45" s="2">
        <v>134.7</v>
      </c>
      <c r="I45" s="2">
        <v>3.61</v>
      </c>
      <c r="J45" s="2">
        <v>1.27</v>
      </c>
      <c r="K45" s="2">
        <v>109</v>
      </c>
      <c r="L45" s="2">
        <v>11.9</v>
      </c>
      <c r="M45" s="2">
        <v>1.19</v>
      </c>
      <c r="N45" s="2">
        <v>49</v>
      </c>
      <c r="O45" s="2">
        <v>24</v>
      </c>
      <c r="P45" s="2">
        <v>99.6</v>
      </c>
      <c r="Q45" s="2">
        <v>14</v>
      </c>
      <c r="R45" s="2">
        <v>7.436</v>
      </c>
      <c r="S45" s="2">
        <v>58.2</v>
      </c>
      <c r="T45" s="2">
        <v>134.3</v>
      </c>
      <c r="U45" s="2">
        <v>3.61</v>
      </c>
      <c r="V45" s="2">
        <v>1.27</v>
      </c>
      <c r="W45" s="2">
        <v>110</v>
      </c>
      <c r="X45" s="2">
        <v>11.9</v>
      </c>
      <c r="Y45" s="2">
        <v>1.23</v>
      </c>
      <c r="Z45" s="2">
        <v>49</v>
      </c>
      <c r="AA45" s="2">
        <v>23.8</v>
      </c>
      <c r="AB45" s="2">
        <v>91.3</v>
      </c>
      <c r="AC45" s="2">
        <v>14</v>
      </c>
      <c r="AD45" s="2">
        <v>40</v>
      </c>
      <c r="AE45" s="2">
        <v>0.66</v>
      </c>
      <c r="AF45" s="2">
        <f t="shared" si="36"/>
        <v>0.0247371675943104</v>
      </c>
      <c r="AG45" s="2">
        <f t="shared" si="37"/>
        <v>3.12912195918367</v>
      </c>
      <c r="AH45" s="2">
        <f t="shared" si="38"/>
        <v>0.04</v>
      </c>
      <c r="AI45" s="2">
        <f t="shared" si="39"/>
        <v>7.336746</v>
      </c>
      <c r="AJ45" s="2">
        <f t="shared" si="40"/>
        <v>6.175178</v>
      </c>
      <c r="AK45" s="2">
        <v>1</v>
      </c>
      <c r="AL45" s="2">
        <f t="shared" si="41"/>
        <v>0.468649881000001</v>
      </c>
    </row>
    <row r="46" s="1" customFormat="1" spans="1:38">
      <c r="A46" s="7"/>
      <c r="B46" s="7"/>
      <c r="C46" s="9" t="s">
        <v>40</v>
      </c>
      <c r="D46" s="2">
        <v>42.7</v>
      </c>
      <c r="E46" s="2">
        <v>245</v>
      </c>
      <c r="G46" s="1">
        <v>244.5</v>
      </c>
      <c r="H46" s="1">
        <v>132.4</v>
      </c>
      <c r="I46" s="1">
        <v>4.32</v>
      </c>
      <c r="J46" s="1">
        <v>1.19</v>
      </c>
      <c r="K46" s="1">
        <v>111</v>
      </c>
      <c r="L46" s="1">
        <v>11.8</v>
      </c>
      <c r="M46" s="1">
        <v>0.75</v>
      </c>
      <c r="N46" s="1">
        <v>48</v>
      </c>
      <c r="Q46" s="1">
        <v>14</v>
      </c>
      <c r="S46" s="1">
        <v>121.4</v>
      </c>
      <c r="T46" s="1">
        <v>132.9</v>
      </c>
      <c r="U46" s="1">
        <v>4.33</v>
      </c>
      <c r="V46" s="1">
        <v>1.19</v>
      </c>
      <c r="W46" s="1">
        <v>110</v>
      </c>
      <c r="X46" s="1">
        <v>12.1</v>
      </c>
      <c r="Y46" s="1">
        <v>0.72</v>
      </c>
      <c r="Z46" s="1">
        <v>48</v>
      </c>
      <c r="AC46" s="1">
        <v>14</v>
      </c>
      <c r="AD46" s="1">
        <v>43</v>
      </c>
      <c r="AE46" s="1">
        <v>0.815</v>
      </c>
      <c r="AF46" s="2">
        <f t="shared" si="36"/>
        <v>0.0215349943658445</v>
      </c>
      <c r="AG46" s="2">
        <f t="shared" si="37"/>
        <v>1.26943734693878</v>
      </c>
      <c r="AH46" s="2">
        <f t="shared" si="38"/>
        <v>-0.03</v>
      </c>
      <c r="AI46" s="2">
        <f t="shared" si="39"/>
        <v>0.75795</v>
      </c>
      <c r="AJ46" s="2">
        <f t="shared" si="40"/>
        <v>0.37634</v>
      </c>
      <c r="AK46" s="1">
        <v>1</v>
      </c>
      <c r="AL46" s="2">
        <f t="shared" si="41"/>
        <v>-124.5776754</v>
      </c>
    </row>
    <row r="47" spans="1:38">
      <c r="A47" s="4">
        <v>10</v>
      </c>
      <c r="B47" s="4" t="s">
        <v>49</v>
      </c>
      <c r="C47" s="5" t="s">
        <v>36</v>
      </c>
      <c r="D47" s="2">
        <v>43</v>
      </c>
      <c r="E47" s="2">
        <v>227</v>
      </c>
      <c r="F47" s="2">
        <v>7.391</v>
      </c>
      <c r="G47" s="2">
        <v>309.2</v>
      </c>
      <c r="H47" s="2">
        <v>129.1</v>
      </c>
      <c r="I47" s="2">
        <v>3.19</v>
      </c>
      <c r="J47" s="2">
        <v>0.74</v>
      </c>
      <c r="K47" s="2">
        <v>102</v>
      </c>
      <c r="L47" s="2">
        <v>6.9</v>
      </c>
      <c r="M47" s="2">
        <v>1.24</v>
      </c>
      <c r="N47" s="2">
        <v>53</v>
      </c>
      <c r="O47" s="2">
        <v>21</v>
      </c>
      <c r="P47" s="2">
        <v>99.7</v>
      </c>
      <c r="Q47" s="2">
        <v>16</v>
      </c>
      <c r="R47" s="2">
        <v>7.37</v>
      </c>
      <c r="S47" s="2">
        <v>51</v>
      </c>
      <c r="T47" s="2">
        <v>130</v>
      </c>
      <c r="U47" s="2">
        <v>3.14</v>
      </c>
      <c r="V47" s="2">
        <v>0.76</v>
      </c>
      <c r="W47" s="2">
        <v>102</v>
      </c>
      <c r="X47" s="2">
        <v>6.6</v>
      </c>
      <c r="Y47" s="2">
        <v>1.17</v>
      </c>
      <c r="Z47" s="2">
        <v>54</v>
      </c>
      <c r="AA47" s="2">
        <v>21.3</v>
      </c>
      <c r="AB47" s="2">
        <v>85.4</v>
      </c>
      <c r="AC47" s="2">
        <v>16</v>
      </c>
      <c r="AD47" s="2">
        <v>37</v>
      </c>
      <c r="AE47" s="2">
        <v>0.229</v>
      </c>
      <c r="AF47" s="2">
        <f t="shared" ref="AF47:AF51" si="42">AD47/AE47/1000/E47*100</f>
        <v>0.0711771155954831</v>
      </c>
      <c r="AG47" s="2">
        <f t="shared" ref="AG47:AG51" si="43">AE47*1000*((1.34*N47/10*P47/100+0.0031*G47)-(1.34*Z47/10*AB47/100+0.0031*S47))/(E47/100)/100</f>
        <v>1.7165618061674</v>
      </c>
      <c r="AH47" s="2">
        <f t="shared" ref="AH47:AH51" si="44">Y47-M47</f>
        <v>-0.0700000000000001</v>
      </c>
      <c r="AI47" s="2">
        <f t="shared" ref="AI47:AI51" si="45">(1.34*N47/10*P47/100+0.0031*G47)</f>
        <v>8.039214</v>
      </c>
      <c r="AJ47" s="2">
        <f t="shared" ref="AJ47:AJ51" si="46">(1.34*Z47/10*AB47/100+0.0031*S47)</f>
        <v>6.337644</v>
      </c>
      <c r="AK47" s="2">
        <v>1</v>
      </c>
      <c r="AL47" s="2">
        <f t="shared" ref="AL47:AL51" si="47">0.9287*(O47-24.4+14.83*(F47-7.4))</f>
        <v>-3.281533589</v>
      </c>
    </row>
    <row r="48" spans="1:38">
      <c r="A48" s="7"/>
      <c r="B48" s="7"/>
      <c r="C48" s="5" t="s">
        <v>37</v>
      </c>
      <c r="D48" s="2">
        <v>43</v>
      </c>
      <c r="E48" s="2">
        <v>227</v>
      </c>
      <c r="F48" s="2">
        <v>7.223</v>
      </c>
      <c r="G48" s="2">
        <v>242.7</v>
      </c>
      <c r="H48" s="2">
        <v>128.1</v>
      </c>
      <c r="I48" s="2">
        <v>2.46</v>
      </c>
      <c r="J48" s="2">
        <v>1.56</v>
      </c>
      <c r="K48" s="2">
        <v>103</v>
      </c>
      <c r="L48" s="2">
        <v>7.9</v>
      </c>
      <c r="M48" s="2">
        <v>1.46</v>
      </c>
      <c r="N48" s="2">
        <v>54</v>
      </c>
      <c r="O48" s="2">
        <v>22.5</v>
      </c>
      <c r="P48" s="2">
        <v>99.4</v>
      </c>
      <c r="Q48" s="2">
        <v>16</v>
      </c>
      <c r="R48" s="2">
        <v>7.201</v>
      </c>
      <c r="S48" s="2">
        <v>52.6</v>
      </c>
      <c r="T48" s="2">
        <v>128.7</v>
      </c>
      <c r="U48" s="2">
        <v>2.41</v>
      </c>
      <c r="V48" s="2">
        <v>1.56</v>
      </c>
      <c r="W48" s="2">
        <v>103</v>
      </c>
      <c r="X48" s="2">
        <v>8.1</v>
      </c>
      <c r="Y48" s="2">
        <v>1.48</v>
      </c>
      <c r="Z48" s="2">
        <v>56</v>
      </c>
      <c r="AA48" s="2">
        <v>24.5</v>
      </c>
      <c r="AB48" s="2">
        <v>78.4</v>
      </c>
      <c r="AC48" s="2">
        <v>16</v>
      </c>
      <c r="AD48" s="2">
        <v>32</v>
      </c>
      <c r="AE48" s="2">
        <v>0.231</v>
      </c>
      <c r="AF48" s="2">
        <f t="shared" si="42"/>
        <v>0.0610256116864046</v>
      </c>
      <c r="AG48" s="2">
        <f t="shared" si="43"/>
        <v>1.9322162907489</v>
      </c>
      <c r="AH48" s="2">
        <f t="shared" si="44"/>
        <v>0.02</v>
      </c>
      <c r="AI48" s="2">
        <f t="shared" si="45"/>
        <v>7.944954</v>
      </c>
      <c r="AJ48" s="2">
        <f t="shared" si="46"/>
        <v>6.046196</v>
      </c>
      <c r="AK48" s="2">
        <v>1</v>
      </c>
      <c r="AL48" s="2">
        <f t="shared" si="47"/>
        <v>-4.20228391700001</v>
      </c>
    </row>
    <row r="49" spans="1:38">
      <c r="A49" s="7"/>
      <c r="B49" s="7"/>
      <c r="C49" s="5" t="s">
        <v>38</v>
      </c>
      <c r="D49" s="2">
        <v>43</v>
      </c>
      <c r="E49" s="2">
        <v>227</v>
      </c>
      <c r="F49" s="2">
        <v>7.391</v>
      </c>
      <c r="G49" s="2">
        <v>376.1</v>
      </c>
      <c r="H49" s="2">
        <v>128.2</v>
      </c>
      <c r="I49" s="2">
        <v>2.53</v>
      </c>
      <c r="J49" s="2">
        <v>1.51</v>
      </c>
      <c r="K49" s="2">
        <v>104</v>
      </c>
      <c r="L49" s="2">
        <v>9.9</v>
      </c>
      <c r="M49" s="2">
        <v>0.73</v>
      </c>
      <c r="N49" s="2">
        <v>55</v>
      </c>
      <c r="O49" s="2">
        <v>21.2</v>
      </c>
      <c r="P49" s="2">
        <v>99.8</v>
      </c>
      <c r="Q49" s="2">
        <v>16</v>
      </c>
      <c r="R49" s="2">
        <v>7.349</v>
      </c>
      <c r="S49" s="2">
        <v>50.5</v>
      </c>
      <c r="T49" s="2">
        <v>127.7</v>
      </c>
      <c r="U49" s="2">
        <v>2.52</v>
      </c>
      <c r="V49" s="2">
        <v>1.51</v>
      </c>
      <c r="W49" s="2">
        <v>104</v>
      </c>
      <c r="X49" s="2">
        <v>9.7</v>
      </c>
      <c r="Y49" s="2">
        <v>0.67</v>
      </c>
      <c r="Z49" s="2">
        <v>56</v>
      </c>
      <c r="AA49" s="2">
        <v>22.6</v>
      </c>
      <c r="AB49" s="2">
        <v>84</v>
      </c>
      <c r="AC49" s="2">
        <v>16</v>
      </c>
      <c r="AD49" s="2">
        <v>43</v>
      </c>
      <c r="AE49" s="2">
        <v>0.305</v>
      </c>
      <c r="AF49" s="2">
        <f t="shared" si="42"/>
        <v>0.0621073156640427</v>
      </c>
      <c r="AG49" s="2">
        <f t="shared" si="43"/>
        <v>2.76953436123348</v>
      </c>
      <c r="AH49" s="2">
        <f t="shared" si="44"/>
        <v>-0.0599999999999999</v>
      </c>
      <c r="AI49" s="2">
        <f t="shared" si="45"/>
        <v>8.52117</v>
      </c>
      <c r="AJ49" s="2">
        <f t="shared" si="46"/>
        <v>6.45991</v>
      </c>
      <c r="AK49" s="2">
        <v>1</v>
      </c>
      <c r="AL49" s="2">
        <f t="shared" si="47"/>
        <v>-3.095793589</v>
      </c>
    </row>
    <row r="50" spans="1:38">
      <c r="A50" s="7"/>
      <c r="B50" s="7"/>
      <c r="C50" s="5" t="s">
        <v>39</v>
      </c>
      <c r="D50" s="2">
        <v>43</v>
      </c>
      <c r="E50" s="2">
        <v>227</v>
      </c>
      <c r="F50" s="2">
        <v>7.43</v>
      </c>
      <c r="G50" s="2">
        <v>326.8</v>
      </c>
      <c r="H50" s="2">
        <v>127.7</v>
      </c>
      <c r="I50" s="2">
        <v>3.03</v>
      </c>
      <c r="J50" s="2">
        <v>1.46</v>
      </c>
      <c r="K50" s="2">
        <v>105</v>
      </c>
      <c r="L50" s="2">
        <v>10.2</v>
      </c>
      <c r="M50" s="2">
        <v>0.71</v>
      </c>
      <c r="N50" s="2">
        <v>52</v>
      </c>
      <c r="O50" s="2">
        <v>20.4</v>
      </c>
      <c r="P50" s="2">
        <v>99.8</v>
      </c>
      <c r="Q50" s="2">
        <v>16</v>
      </c>
      <c r="R50" s="2">
        <v>7.358</v>
      </c>
      <c r="S50" s="2">
        <v>38.3</v>
      </c>
      <c r="T50" s="2">
        <v>127.5</v>
      </c>
      <c r="U50" s="2">
        <v>3.01</v>
      </c>
      <c r="V50" s="2">
        <v>1.46</v>
      </c>
      <c r="W50" s="2">
        <v>105</v>
      </c>
      <c r="X50" s="2">
        <v>10.5</v>
      </c>
      <c r="Y50" s="2">
        <v>0.75</v>
      </c>
      <c r="Z50" s="2">
        <v>54</v>
      </c>
      <c r="AA50" s="2">
        <v>21.4</v>
      </c>
      <c r="AB50" s="2">
        <v>70.6</v>
      </c>
      <c r="AC50" s="2">
        <v>16</v>
      </c>
      <c r="AD50" s="2">
        <v>39</v>
      </c>
      <c r="AE50" s="2">
        <v>0.216</v>
      </c>
      <c r="AF50" s="2">
        <f t="shared" si="42"/>
        <v>0.0795398923152227</v>
      </c>
      <c r="AG50" s="2">
        <f t="shared" si="43"/>
        <v>2.60703245814978</v>
      </c>
      <c r="AH50" s="2">
        <f t="shared" si="44"/>
        <v>0.04</v>
      </c>
      <c r="AI50" s="2">
        <f t="shared" si="45"/>
        <v>7.967144</v>
      </c>
      <c r="AJ50" s="2">
        <f t="shared" si="46"/>
        <v>5.227346</v>
      </c>
      <c r="AK50" s="2">
        <v>1</v>
      </c>
      <c r="AL50" s="2">
        <f t="shared" si="47"/>
        <v>-3.30162137000001</v>
      </c>
    </row>
    <row r="51" spans="1:38">
      <c r="A51" s="7"/>
      <c r="B51" s="7"/>
      <c r="C51" s="9" t="s">
        <v>40</v>
      </c>
      <c r="D51" s="2">
        <v>43</v>
      </c>
      <c r="E51" s="2">
        <v>227</v>
      </c>
      <c r="F51" s="2">
        <v>7.428</v>
      </c>
      <c r="G51" s="2">
        <v>390.6</v>
      </c>
      <c r="H51" s="2">
        <v>126.5</v>
      </c>
      <c r="I51" s="2">
        <v>4.48</v>
      </c>
      <c r="J51" s="2">
        <v>1.31</v>
      </c>
      <c r="K51" s="2">
        <v>105</v>
      </c>
      <c r="L51" s="2">
        <v>8.6</v>
      </c>
      <c r="M51" s="2">
        <v>2.18</v>
      </c>
      <c r="N51" s="2">
        <v>55</v>
      </c>
      <c r="O51" s="2">
        <v>13.5</v>
      </c>
      <c r="P51" s="2">
        <v>99.8</v>
      </c>
      <c r="Q51" s="2">
        <v>16</v>
      </c>
      <c r="R51" s="2">
        <v>7.396</v>
      </c>
      <c r="S51" s="2">
        <v>94.6</v>
      </c>
      <c r="T51" s="2">
        <v>125.3</v>
      </c>
      <c r="U51" s="2">
        <v>4.47</v>
      </c>
      <c r="V51" s="2">
        <v>1.29</v>
      </c>
      <c r="W51" s="2">
        <v>105</v>
      </c>
      <c r="X51" s="2">
        <v>8.9</v>
      </c>
      <c r="Y51" s="2">
        <v>2.54</v>
      </c>
      <c r="Z51" s="2">
        <v>56</v>
      </c>
      <c r="AA51" s="2">
        <v>14.9</v>
      </c>
      <c r="AB51" s="2">
        <v>97.4</v>
      </c>
      <c r="AC51" s="2">
        <v>16</v>
      </c>
      <c r="AD51" s="2">
        <v>48</v>
      </c>
      <c r="AE51" s="2">
        <v>0.372</v>
      </c>
      <c r="AF51" s="2">
        <f t="shared" si="42"/>
        <v>0.0568424044337075</v>
      </c>
      <c r="AG51" s="2">
        <f t="shared" si="43"/>
        <v>1.57971192951542</v>
      </c>
      <c r="AH51" s="2">
        <f t="shared" si="44"/>
        <v>0.36</v>
      </c>
      <c r="AI51" s="2">
        <f t="shared" si="45"/>
        <v>8.56612</v>
      </c>
      <c r="AJ51" s="2">
        <f t="shared" si="46"/>
        <v>7.602156</v>
      </c>
      <c r="AK51" s="2">
        <v>1</v>
      </c>
      <c r="AL51" s="2">
        <f t="shared" si="47"/>
        <v>-9.737196612</v>
      </c>
    </row>
    <row r="52" spans="1:38">
      <c r="A52" s="4">
        <v>11</v>
      </c>
      <c r="B52" s="4" t="s">
        <v>50</v>
      </c>
      <c r="C52" s="5" t="s">
        <v>36</v>
      </c>
      <c r="D52" s="2">
        <v>40.5</v>
      </c>
      <c r="E52" s="2">
        <v>232</v>
      </c>
      <c r="F52" s="2">
        <v>7.321</v>
      </c>
      <c r="G52" s="2">
        <v>177.8</v>
      </c>
      <c r="H52" s="2">
        <v>120.7</v>
      </c>
      <c r="I52" s="2">
        <v>3.57</v>
      </c>
      <c r="J52" s="2">
        <v>0.81</v>
      </c>
      <c r="K52" s="2">
        <v>102</v>
      </c>
      <c r="L52" s="2">
        <v>7.1</v>
      </c>
      <c r="M52" s="2">
        <v>1.53</v>
      </c>
      <c r="N52" s="2">
        <v>56</v>
      </c>
      <c r="O52" s="2">
        <v>13.1</v>
      </c>
      <c r="P52" s="2">
        <v>99.1</v>
      </c>
      <c r="R52" s="2">
        <v>7.294</v>
      </c>
      <c r="S52" s="2">
        <v>55.7</v>
      </c>
      <c r="T52" s="2">
        <v>120.4</v>
      </c>
      <c r="U52" s="2">
        <v>3.35</v>
      </c>
      <c r="V52" s="2">
        <v>0.83</v>
      </c>
      <c r="W52" s="2">
        <v>102</v>
      </c>
      <c r="X52" s="2">
        <v>6.8</v>
      </c>
      <c r="Y52" s="2">
        <v>1.59</v>
      </c>
      <c r="Z52" s="2">
        <v>55</v>
      </c>
      <c r="AA52" s="2">
        <v>13.2</v>
      </c>
      <c r="AB52" s="2">
        <v>86.5</v>
      </c>
      <c r="AD52" s="2">
        <v>30</v>
      </c>
      <c r="AE52" s="2">
        <v>0.45</v>
      </c>
      <c r="AF52" s="2">
        <f t="shared" ref="AF52:AF56" si="48">AD52/AE52/1000/E52*100</f>
        <v>0.028735632183908</v>
      </c>
      <c r="AG52" s="2">
        <f t="shared" ref="AG52:AG56" si="49">AE52*1000*((1.34*N52/10*P52/100+0.0031*G52)-(1.34*Z52/10*AB52/100+0.0031*S52))/(E52/100)/100</f>
        <v>2.79295603448276</v>
      </c>
      <c r="AH52" s="2">
        <f t="shared" ref="AH52:AH56" si="50">Y52-M52</f>
        <v>0.0600000000000001</v>
      </c>
      <c r="AI52" s="2">
        <f t="shared" ref="AI52:AI56" si="51">(1.34*N52/10*P52/100+0.0031*G52)</f>
        <v>7.987644</v>
      </c>
      <c r="AJ52" s="2">
        <f t="shared" ref="AJ52:AJ56" si="52">(1.34*Z52/10*AB52/100+0.0031*S52)</f>
        <v>6.54772</v>
      </c>
      <c r="AK52" s="2">
        <v>1</v>
      </c>
      <c r="AL52" s="2">
        <f t="shared" ref="AL52:AL56" si="53">0.9287*(O52-24.4+14.83*(F52-7.4))</f>
        <v>-11.582347059</v>
      </c>
    </row>
    <row r="53" spans="1:38">
      <c r="A53" s="7"/>
      <c r="B53" s="7"/>
      <c r="C53" s="5" t="s">
        <v>37</v>
      </c>
      <c r="D53" s="2">
        <v>40.5</v>
      </c>
      <c r="E53" s="2">
        <v>232</v>
      </c>
      <c r="F53" s="2">
        <v>7.299</v>
      </c>
      <c r="G53" s="2">
        <v>259.2</v>
      </c>
      <c r="H53" s="2">
        <v>125.1</v>
      </c>
      <c r="I53" s="2">
        <v>2.5</v>
      </c>
      <c r="J53" s="2">
        <v>1.48</v>
      </c>
      <c r="K53" s="2">
        <v>103</v>
      </c>
      <c r="L53" s="2">
        <v>8.1</v>
      </c>
      <c r="M53" s="2">
        <v>2.04</v>
      </c>
      <c r="N53" s="2">
        <v>57</v>
      </c>
      <c r="O53" s="2">
        <v>17.6</v>
      </c>
      <c r="P53" s="2">
        <v>99.5</v>
      </c>
      <c r="R53" s="2">
        <v>7.296</v>
      </c>
      <c r="S53" s="2">
        <v>49.3</v>
      </c>
      <c r="T53" s="2">
        <v>126.2</v>
      </c>
      <c r="U53" s="2">
        <v>2.48</v>
      </c>
      <c r="V53" s="2">
        <v>1.5</v>
      </c>
      <c r="W53" s="2">
        <v>102</v>
      </c>
      <c r="X53" s="2">
        <v>8.1</v>
      </c>
      <c r="Y53" s="2">
        <v>2.02</v>
      </c>
      <c r="Z53" s="2">
        <v>56</v>
      </c>
      <c r="AA53" s="2">
        <v>18.5</v>
      </c>
      <c r="AB53" s="2">
        <v>79.6</v>
      </c>
      <c r="AD53" s="2">
        <v>36</v>
      </c>
      <c r="AE53" s="2">
        <v>0.452</v>
      </c>
      <c r="AF53" s="2">
        <f t="shared" si="48"/>
        <v>0.034330180042722</v>
      </c>
      <c r="AG53" s="2">
        <f t="shared" si="49"/>
        <v>4.43683979310345</v>
      </c>
      <c r="AH53" s="2">
        <f t="shared" si="50"/>
        <v>-0.02</v>
      </c>
      <c r="AI53" s="2">
        <f t="shared" si="51"/>
        <v>8.40333</v>
      </c>
      <c r="AJ53" s="2">
        <f t="shared" si="52"/>
        <v>6.126014</v>
      </c>
      <c r="AK53" s="2">
        <v>1</v>
      </c>
      <c r="AL53" s="2">
        <f t="shared" si="53"/>
        <v>-7.706194721</v>
      </c>
    </row>
    <row r="54" spans="1:38">
      <c r="A54" s="7"/>
      <c r="B54" s="7"/>
      <c r="C54" s="5" t="s">
        <v>38</v>
      </c>
      <c r="D54" s="2">
        <v>40.5</v>
      </c>
      <c r="E54" s="2">
        <v>232</v>
      </c>
      <c r="F54" s="2">
        <v>7.344</v>
      </c>
      <c r="G54" s="2">
        <v>284.1</v>
      </c>
      <c r="H54" s="2">
        <v>126</v>
      </c>
      <c r="I54" s="2">
        <v>2.26</v>
      </c>
      <c r="J54" s="2">
        <v>1.45</v>
      </c>
      <c r="K54" s="2">
        <v>102</v>
      </c>
      <c r="L54" s="2">
        <v>10.3</v>
      </c>
      <c r="M54" s="2">
        <v>0.89</v>
      </c>
      <c r="N54" s="2">
        <v>60</v>
      </c>
      <c r="O54" s="2">
        <v>18.8</v>
      </c>
      <c r="P54" s="2">
        <v>99.6</v>
      </c>
      <c r="R54" s="2">
        <v>7.313</v>
      </c>
      <c r="S54" s="2">
        <v>47.8</v>
      </c>
      <c r="T54" s="2">
        <v>125.1</v>
      </c>
      <c r="U54" s="2">
        <v>2.22</v>
      </c>
      <c r="V54" s="2">
        <v>1.45</v>
      </c>
      <c r="W54" s="2">
        <v>102</v>
      </c>
      <c r="X54" s="2">
        <v>10.3</v>
      </c>
      <c r="Y54" s="2">
        <v>0.85</v>
      </c>
      <c r="Z54" s="2">
        <v>59</v>
      </c>
      <c r="AA54" s="2">
        <v>19.7</v>
      </c>
      <c r="AB54" s="2">
        <v>80.2</v>
      </c>
      <c r="AD54" s="2">
        <v>30</v>
      </c>
      <c r="AE54" s="2">
        <v>0.387</v>
      </c>
      <c r="AF54" s="2">
        <f t="shared" si="48"/>
        <v>0.0334135257952419</v>
      </c>
      <c r="AG54" s="2">
        <f t="shared" si="49"/>
        <v>4.00304459482759</v>
      </c>
      <c r="AH54" s="2">
        <f t="shared" si="50"/>
        <v>-0.04</v>
      </c>
      <c r="AI54" s="2">
        <f t="shared" si="51"/>
        <v>8.88855</v>
      </c>
      <c r="AJ54" s="2">
        <f t="shared" si="52"/>
        <v>6.488792</v>
      </c>
      <c r="AK54" s="2">
        <v>1</v>
      </c>
      <c r="AL54" s="2">
        <f t="shared" si="53"/>
        <v>-5.971986776</v>
      </c>
    </row>
    <row r="55" spans="1:38">
      <c r="A55" s="7"/>
      <c r="B55" s="7"/>
      <c r="C55" s="5" t="s">
        <v>39</v>
      </c>
      <c r="D55" s="2">
        <v>40.5</v>
      </c>
      <c r="E55" s="2">
        <v>232</v>
      </c>
      <c r="F55" s="2">
        <v>7.444</v>
      </c>
      <c r="G55" s="2">
        <v>300.3</v>
      </c>
      <c r="H55" s="2">
        <v>126</v>
      </c>
      <c r="I55" s="2">
        <v>2.53</v>
      </c>
      <c r="J55" s="2">
        <v>1.4</v>
      </c>
      <c r="K55" s="2">
        <v>103</v>
      </c>
      <c r="L55" s="2">
        <v>11.2</v>
      </c>
      <c r="M55" s="2">
        <v>0.81</v>
      </c>
      <c r="N55" s="2">
        <v>56</v>
      </c>
      <c r="O55" s="2">
        <v>18.2</v>
      </c>
      <c r="P55" s="2">
        <v>99.7</v>
      </c>
      <c r="R55" s="2">
        <v>7.407</v>
      </c>
      <c r="S55" s="2">
        <v>50.5</v>
      </c>
      <c r="T55" s="2">
        <v>125.5</v>
      </c>
      <c r="U55" s="2">
        <v>2.5</v>
      </c>
      <c r="V55" s="2">
        <v>1.4</v>
      </c>
      <c r="W55" s="2">
        <v>103</v>
      </c>
      <c r="X55" s="2">
        <v>11.2</v>
      </c>
      <c r="Y55" s="2">
        <v>0.87</v>
      </c>
      <c r="Z55" s="2">
        <v>56</v>
      </c>
      <c r="AA55" s="2">
        <v>18.2</v>
      </c>
      <c r="AB55" s="2">
        <v>86.7</v>
      </c>
      <c r="AD55" s="2">
        <v>38</v>
      </c>
      <c r="AE55" s="2">
        <v>0.451</v>
      </c>
      <c r="AF55" s="2">
        <f t="shared" si="48"/>
        <v>0.0363177612967352</v>
      </c>
      <c r="AG55" s="2">
        <f t="shared" si="49"/>
        <v>3.40174525862069</v>
      </c>
      <c r="AH55" s="2">
        <f t="shared" si="50"/>
        <v>0.0599999999999999</v>
      </c>
      <c r="AI55" s="2">
        <f t="shared" si="51"/>
        <v>8.412418</v>
      </c>
      <c r="AJ55" s="2">
        <f t="shared" si="52"/>
        <v>6.662518</v>
      </c>
      <c r="AK55" s="2">
        <v>1</v>
      </c>
      <c r="AL55" s="2">
        <f t="shared" si="53"/>
        <v>-5.151944676</v>
      </c>
    </row>
    <row r="56" s="1" customFormat="1" spans="1:38">
      <c r="A56" s="7"/>
      <c r="B56" s="7"/>
      <c r="C56" s="9" t="s">
        <v>40</v>
      </c>
      <c r="D56" s="2">
        <v>40.5</v>
      </c>
      <c r="E56" s="2">
        <v>232</v>
      </c>
      <c r="F56" s="1">
        <v>7.471</v>
      </c>
      <c r="G56" s="1">
        <v>297.2</v>
      </c>
      <c r="H56" s="1">
        <v>125.1</v>
      </c>
      <c r="I56" s="1">
        <v>3.36</v>
      </c>
      <c r="J56" s="1">
        <v>1.27</v>
      </c>
      <c r="K56" s="1">
        <v>104</v>
      </c>
      <c r="L56" s="1">
        <v>11.1</v>
      </c>
      <c r="M56" s="1">
        <v>0.86</v>
      </c>
      <c r="N56" s="1">
        <v>56</v>
      </c>
      <c r="O56" s="1">
        <v>18.3</v>
      </c>
      <c r="P56" s="1">
        <v>99.7</v>
      </c>
      <c r="Q56" s="1"/>
      <c r="R56" s="1">
        <v>7.399</v>
      </c>
      <c r="S56" s="1">
        <v>37.3</v>
      </c>
      <c r="T56" s="1">
        <v>125.5</v>
      </c>
      <c r="U56" s="1">
        <v>3.34</v>
      </c>
      <c r="V56" s="1">
        <v>1.29</v>
      </c>
      <c r="W56" s="1">
        <v>104</v>
      </c>
      <c r="X56" s="1">
        <v>10.6</v>
      </c>
      <c r="Y56" s="1">
        <v>0.83</v>
      </c>
      <c r="Z56" s="1">
        <v>48</v>
      </c>
      <c r="AA56" s="1">
        <v>18.5</v>
      </c>
      <c r="AB56" s="1">
        <v>72</v>
      </c>
      <c r="AD56" s="1">
        <v>34</v>
      </c>
      <c r="AE56" s="1">
        <v>0.592</v>
      </c>
      <c r="AF56" s="2">
        <f t="shared" si="48"/>
        <v>0.0247553588070829</v>
      </c>
      <c r="AG56" s="2">
        <f t="shared" si="49"/>
        <v>9.3294555862069</v>
      </c>
      <c r="AH56" s="2">
        <f t="shared" si="50"/>
        <v>-0.03</v>
      </c>
      <c r="AI56" s="2">
        <f t="shared" si="51"/>
        <v>8.402808</v>
      </c>
      <c r="AJ56" s="2">
        <f t="shared" si="52"/>
        <v>4.74667</v>
      </c>
      <c r="AK56" s="1">
        <v>1</v>
      </c>
      <c r="AL56" s="2">
        <f t="shared" si="53"/>
        <v>-4.687213909</v>
      </c>
    </row>
    <row r="57" spans="1:38">
      <c r="A57" s="4">
        <v>12</v>
      </c>
      <c r="B57" s="4" t="s">
        <v>51</v>
      </c>
      <c r="C57" s="5" t="s">
        <v>36</v>
      </c>
      <c r="D57" s="2">
        <v>40.5</v>
      </c>
      <c r="E57" s="2">
        <v>231</v>
      </c>
      <c r="F57" s="2">
        <v>7.209</v>
      </c>
      <c r="G57" s="2">
        <v>309.7</v>
      </c>
      <c r="H57" s="2">
        <v>129.1</v>
      </c>
      <c r="I57" s="2">
        <v>5.26</v>
      </c>
      <c r="J57" s="2">
        <v>1.27</v>
      </c>
      <c r="K57" s="2">
        <v>105</v>
      </c>
      <c r="L57" s="2">
        <v>9.7</v>
      </c>
      <c r="M57" s="2">
        <v>4.46</v>
      </c>
      <c r="N57" s="2">
        <v>53</v>
      </c>
      <c r="O57" s="2">
        <v>16.9</v>
      </c>
      <c r="P57" s="2">
        <v>99.6</v>
      </c>
      <c r="R57" s="2">
        <v>7.21</v>
      </c>
      <c r="S57" s="2">
        <v>60.3</v>
      </c>
      <c r="T57" s="2">
        <v>130.1</v>
      </c>
      <c r="U57" s="2">
        <v>5.2</v>
      </c>
      <c r="V57" s="2">
        <v>1.39</v>
      </c>
      <c r="W57" s="2">
        <v>105</v>
      </c>
      <c r="X57" s="2">
        <v>9.5</v>
      </c>
      <c r="Y57" s="2">
        <v>4.57</v>
      </c>
      <c r="Z57" s="2">
        <v>53</v>
      </c>
      <c r="AA57" s="2">
        <v>18</v>
      </c>
      <c r="AB57" s="2">
        <v>85.6</v>
      </c>
      <c r="AD57" s="2">
        <v>40</v>
      </c>
      <c r="AE57" s="2">
        <v>0.378</v>
      </c>
      <c r="AF57" s="2">
        <f t="shared" ref="AF57:AF61" si="54">AD57/AE57/1000/E57*100</f>
        <v>0.0458095696190934</v>
      </c>
      <c r="AG57" s="2">
        <f t="shared" ref="AG57:AG61" si="55">AE57*1000*((1.34*N57/10*P57/100+0.0031*G57)-(1.34*Z57/10*AB57/100+0.0031*S57))/(E57/100)/100</f>
        <v>2.89214181818182</v>
      </c>
      <c r="AH57" s="2">
        <f t="shared" ref="AH57:AH61" si="56">Y57-M57</f>
        <v>0.11</v>
      </c>
      <c r="AI57" s="2">
        <f t="shared" ref="AI57:AI61" si="57">(1.34*N57/10*P57/100+0.0031*G57)</f>
        <v>8.033662</v>
      </c>
      <c r="AJ57" s="2">
        <f t="shared" ref="AJ57:AJ61" si="58">(1.34*Z57/10*AB57/100+0.0031*S57)</f>
        <v>6.266242</v>
      </c>
      <c r="AK57" s="2">
        <v>0</v>
      </c>
      <c r="AL57" s="2">
        <f t="shared" ref="AL57:AL61" si="59">0.9287*(O57-24.4+14.83*(F57-7.4))</f>
        <v>-9.59582061100001</v>
      </c>
    </row>
    <row r="58" spans="1:38">
      <c r="A58" s="7"/>
      <c r="B58" s="7"/>
      <c r="C58" s="5" t="s">
        <v>37</v>
      </c>
      <c r="D58" s="2">
        <v>40.5</v>
      </c>
      <c r="E58" s="2">
        <v>231</v>
      </c>
      <c r="F58" s="2">
        <v>7.34</v>
      </c>
      <c r="G58" s="2">
        <v>29.9</v>
      </c>
      <c r="H58" s="2">
        <v>128.2</v>
      </c>
      <c r="I58" s="2">
        <v>5.04</v>
      </c>
      <c r="J58" s="2">
        <v>1.29</v>
      </c>
      <c r="K58" s="2">
        <v>104</v>
      </c>
      <c r="L58" s="2">
        <v>10.1</v>
      </c>
      <c r="M58" s="2">
        <v>5.12</v>
      </c>
      <c r="N58" s="2">
        <v>54</v>
      </c>
      <c r="O58" s="2">
        <v>15.8</v>
      </c>
      <c r="P58" s="2">
        <v>99.8</v>
      </c>
      <c r="R58" s="2">
        <v>7.314</v>
      </c>
      <c r="S58" s="2">
        <v>69.9</v>
      </c>
      <c r="T58" s="2">
        <v>130.1</v>
      </c>
      <c r="U58" s="2">
        <v>5.07</v>
      </c>
      <c r="V58" s="2">
        <v>1.31</v>
      </c>
      <c r="W58" s="2">
        <v>107</v>
      </c>
      <c r="X58" s="2">
        <v>10</v>
      </c>
      <c r="Y58" s="2">
        <v>5.04</v>
      </c>
      <c r="Z58" s="2">
        <v>55</v>
      </c>
      <c r="AA58" s="2">
        <v>16.4</v>
      </c>
      <c r="AB58" s="2">
        <v>92.9</v>
      </c>
      <c r="AD58" s="2">
        <v>40</v>
      </c>
      <c r="AE58" s="2">
        <v>0.456</v>
      </c>
      <c r="AF58" s="2">
        <f t="shared" si="54"/>
        <v>0.0379737221842485</v>
      </c>
      <c r="AG58" s="2">
        <f t="shared" si="55"/>
        <v>0.495081766233765</v>
      </c>
      <c r="AH58" s="2">
        <f t="shared" si="56"/>
        <v>-0.0800000000000001</v>
      </c>
      <c r="AI58" s="2">
        <f t="shared" si="57"/>
        <v>7.314218</v>
      </c>
      <c r="AJ58" s="2">
        <f t="shared" si="58"/>
        <v>7.06342</v>
      </c>
      <c r="AK58" s="2">
        <v>0</v>
      </c>
      <c r="AL58" s="2">
        <f t="shared" si="59"/>
        <v>-8.81317726000001</v>
      </c>
    </row>
    <row r="59" spans="1:38">
      <c r="A59" s="7"/>
      <c r="B59" s="7"/>
      <c r="C59" s="5" t="s">
        <v>38</v>
      </c>
      <c r="D59" s="2">
        <v>40.5</v>
      </c>
      <c r="E59" s="2">
        <v>231</v>
      </c>
      <c r="F59" s="2">
        <v>7.403</v>
      </c>
      <c r="G59" s="2">
        <v>369.1</v>
      </c>
      <c r="H59" s="2">
        <v>129.3</v>
      </c>
      <c r="I59" s="2">
        <v>4.84</v>
      </c>
      <c r="J59" s="2">
        <v>1.25</v>
      </c>
      <c r="K59" s="2">
        <v>104</v>
      </c>
      <c r="L59" s="2">
        <v>12.7</v>
      </c>
      <c r="M59" s="2">
        <v>5.5</v>
      </c>
      <c r="N59" s="2">
        <v>56</v>
      </c>
      <c r="O59" s="2">
        <v>17.3</v>
      </c>
      <c r="P59" s="2">
        <v>99.8</v>
      </c>
      <c r="R59" s="2">
        <v>7.42</v>
      </c>
      <c r="S59" s="2">
        <v>61.8</v>
      </c>
      <c r="T59" s="2">
        <v>134</v>
      </c>
      <c r="U59" s="2">
        <v>4.77</v>
      </c>
      <c r="V59" s="2">
        <v>1.21</v>
      </c>
      <c r="W59" s="2">
        <v>104</v>
      </c>
      <c r="X59" s="2">
        <v>12.6</v>
      </c>
      <c r="Y59" s="2">
        <v>5.26</v>
      </c>
      <c r="Z59" s="2">
        <v>55</v>
      </c>
      <c r="AA59" s="2">
        <v>23.4</v>
      </c>
      <c r="AB59" s="2">
        <v>92.3</v>
      </c>
      <c r="AD59" s="2">
        <v>45</v>
      </c>
      <c r="AE59" s="2">
        <v>0.552</v>
      </c>
      <c r="AF59" s="2">
        <f t="shared" si="54"/>
        <v>0.0352907961603614</v>
      </c>
      <c r="AG59" s="2">
        <f t="shared" si="55"/>
        <v>3.91683906493507</v>
      </c>
      <c r="AH59" s="2">
        <f t="shared" si="56"/>
        <v>-0.24</v>
      </c>
      <c r="AI59" s="2">
        <f t="shared" si="57"/>
        <v>8.633202</v>
      </c>
      <c r="AJ59" s="2">
        <f t="shared" si="58"/>
        <v>6.99409</v>
      </c>
      <c r="AK59" s="2">
        <v>0</v>
      </c>
      <c r="AL59" s="2">
        <f t="shared" si="59"/>
        <v>-6.55245213700001</v>
      </c>
    </row>
    <row r="60" spans="1:38">
      <c r="A60" s="7"/>
      <c r="B60" s="7"/>
      <c r="C60" s="5" t="s">
        <v>39</v>
      </c>
      <c r="D60" s="2">
        <v>40.5</v>
      </c>
      <c r="E60" s="2">
        <v>231</v>
      </c>
      <c r="F60" s="2">
        <v>7.367</v>
      </c>
      <c r="G60" s="2">
        <v>328.4</v>
      </c>
      <c r="H60" s="2">
        <v>128.2</v>
      </c>
      <c r="I60" s="2">
        <v>5.04</v>
      </c>
      <c r="J60" s="2">
        <v>1.23</v>
      </c>
      <c r="K60" s="2">
        <v>104</v>
      </c>
      <c r="L60" s="2">
        <v>14.3</v>
      </c>
      <c r="M60" s="2">
        <v>5.01</v>
      </c>
      <c r="N60" s="2">
        <v>52</v>
      </c>
      <c r="O60" s="2">
        <v>17.6</v>
      </c>
      <c r="P60" s="2">
        <v>99.7</v>
      </c>
      <c r="R60" s="2">
        <v>7.334</v>
      </c>
      <c r="S60" s="2">
        <v>68</v>
      </c>
      <c r="T60" s="2">
        <v>128.5</v>
      </c>
      <c r="U60" s="2">
        <v>5.05</v>
      </c>
      <c r="V60" s="2">
        <v>1.24</v>
      </c>
      <c r="W60" s="2">
        <v>104</v>
      </c>
      <c r="X60" s="2">
        <v>14.4</v>
      </c>
      <c r="Y60" s="2">
        <v>5.14</v>
      </c>
      <c r="Z60" s="2">
        <v>52</v>
      </c>
      <c r="AA60" s="2">
        <v>18.6</v>
      </c>
      <c r="AB60" s="2">
        <v>92.6</v>
      </c>
      <c r="AD60" s="2">
        <v>45</v>
      </c>
      <c r="AE60" s="2">
        <v>0.565</v>
      </c>
      <c r="AF60" s="2">
        <f t="shared" si="54"/>
        <v>0.0344787955407424</v>
      </c>
      <c r="AG60" s="2">
        <f t="shared" si="55"/>
        <v>3.18446718614719</v>
      </c>
      <c r="AH60" s="2">
        <f t="shared" si="56"/>
        <v>0.13</v>
      </c>
      <c r="AI60" s="2">
        <f t="shared" si="57"/>
        <v>7.965136</v>
      </c>
      <c r="AJ60" s="2">
        <f t="shared" si="58"/>
        <v>6.663168</v>
      </c>
      <c r="AK60" s="2">
        <v>0</v>
      </c>
      <c r="AL60" s="2">
        <f t="shared" si="59"/>
        <v>-6.769656493</v>
      </c>
    </row>
    <row r="61" spans="1:38">
      <c r="A61" s="7"/>
      <c r="B61" s="7"/>
      <c r="C61" s="9" t="s">
        <v>40</v>
      </c>
      <c r="D61" s="2">
        <v>40.5</v>
      </c>
      <c r="E61" s="2">
        <v>231</v>
      </c>
      <c r="F61" s="2">
        <v>7.395</v>
      </c>
      <c r="G61" s="2">
        <v>179.8</v>
      </c>
      <c r="H61" s="2">
        <v>127.3</v>
      </c>
      <c r="I61" s="2">
        <v>5.44</v>
      </c>
      <c r="J61" s="2">
        <v>1.13</v>
      </c>
      <c r="K61" s="2">
        <v>104</v>
      </c>
      <c r="L61" s="2">
        <v>15.7</v>
      </c>
      <c r="M61" s="2">
        <v>5.11</v>
      </c>
      <c r="N61" s="2">
        <v>52</v>
      </c>
      <c r="O61" s="2">
        <v>13.5</v>
      </c>
      <c r="P61" s="2">
        <v>99.3</v>
      </c>
      <c r="R61" s="2">
        <v>7.418</v>
      </c>
      <c r="S61" s="2">
        <v>299.9</v>
      </c>
      <c r="T61" s="2">
        <v>127.3</v>
      </c>
      <c r="U61" s="2">
        <v>5.46</v>
      </c>
      <c r="V61" s="2">
        <v>1.12</v>
      </c>
      <c r="W61" s="2">
        <v>105</v>
      </c>
      <c r="X61" s="2">
        <v>15.7</v>
      </c>
      <c r="Y61" s="2">
        <v>5.28</v>
      </c>
      <c r="Z61" s="2">
        <v>52</v>
      </c>
      <c r="AA61" s="2">
        <v>15</v>
      </c>
      <c r="AB61" s="2">
        <v>99.7</v>
      </c>
      <c r="AD61" s="2">
        <v>40</v>
      </c>
      <c r="AE61" s="2">
        <v>0.602</v>
      </c>
      <c r="AF61" s="2">
        <f t="shared" si="54"/>
        <v>0.0287641483654773</v>
      </c>
      <c r="AG61" s="2">
        <f t="shared" si="55"/>
        <v>-1.04289854545455</v>
      </c>
      <c r="AH61" s="2">
        <f t="shared" si="56"/>
        <v>0.17</v>
      </c>
      <c r="AI61" s="2">
        <f t="shared" si="57"/>
        <v>7.476604</v>
      </c>
      <c r="AJ61" s="2">
        <f t="shared" si="58"/>
        <v>7.876786</v>
      </c>
      <c r="AK61" s="2">
        <v>0</v>
      </c>
      <c r="AL61" s="2">
        <f t="shared" si="59"/>
        <v>-10.191693105</v>
      </c>
    </row>
    <row r="62" spans="1:38">
      <c r="A62" s="4">
        <v>13</v>
      </c>
      <c r="B62" s="4" t="s">
        <v>52</v>
      </c>
      <c r="C62" s="5" t="s">
        <v>36</v>
      </c>
      <c r="D62" s="2">
        <v>44.1</v>
      </c>
      <c r="E62" s="2">
        <v>233</v>
      </c>
      <c r="F62" s="2">
        <v>0.7</v>
      </c>
      <c r="G62" s="2">
        <v>254.7</v>
      </c>
      <c r="H62" s="2">
        <v>136</v>
      </c>
      <c r="I62" s="2">
        <v>3.74</v>
      </c>
      <c r="J62" s="2">
        <v>0.73</v>
      </c>
      <c r="K62" s="2">
        <v>107</v>
      </c>
      <c r="L62" s="2">
        <v>7.4</v>
      </c>
      <c r="M62" s="2">
        <v>0.73</v>
      </c>
      <c r="N62" s="2">
        <v>47</v>
      </c>
      <c r="O62" s="2">
        <v>26.8</v>
      </c>
      <c r="P62" s="2">
        <v>99.6</v>
      </c>
      <c r="R62" s="2">
        <v>7.368</v>
      </c>
      <c r="S62" s="2">
        <v>69.7</v>
      </c>
      <c r="T62" s="2">
        <v>136.2</v>
      </c>
      <c r="U62" s="2">
        <v>3.61</v>
      </c>
      <c r="V62" s="2">
        <v>0.84</v>
      </c>
      <c r="W62" s="2">
        <v>107</v>
      </c>
      <c r="X62" s="2">
        <v>8.6</v>
      </c>
      <c r="Y62" s="2">
        <v>0.77</v>
      </c>
      <c r="Z62" s="2">
        <v>46</v>
      </c>
      <c r="AA62" s="2">
        <v>26</v>
      </c>
      <c r="AB62" s="2">
        <v>93.4</v>
      </c>
      <c r="AD62" s="2">
        <v>30</v>
      </c>
      <c r="AE62" s="2">
        <v>0.337</v>
      </c>
      <c r="AF62" s="2">
        <f t="shared" ref="AF62:AF66" si="60">AD62/AE62/1000/E62*100</f>
        <v>0.0382063397053018</v>
      </c>
      <c r="AG62" s="2">
        <f t="shared" ref="AG62:AG66" si="61">AE62*1000*((1.34*N62/10*P62/100+0.0031*G62)-(1.34*Z62/10*AB62/100+0.0031*S62))/(E62/100)/100</f>
        <v>1.57526817167382</v>
      </c>
      <c r="AH62" s="2">
        <f t="shared" ref="AH62:AH66" si="62">Y62-M62</f>
        <v>0.04</v>
      </c>
      <c r="AI62" s="2">
        <f t="shared" ref="AI62:AI66" si="63">(1.34*N62/10*P62/100+0.0031*G62)</f>
        <v>7.062378</v>
      </c>
      <c r="AJ62" s="2">
        <f t="shared" ref="AJ62:AJ66" si="64">(1.34*Z62/10*AB62/100+0.0031*S62)</f>
        <v>5.973246</v>
      </c>
      <c r="AK62" s="2">
        <v>1</v>
      </c>
      <c r="AL62" s="2">
        <f t="shared" ref="AL62:AL66" si="65">0.9287*(O62-24.4+14.83*(F62-7.4))</f>
        <v>-90.0476807</v>
      </c>
    </row>
    <row r="63" spans="1:38">
      <c r="A63" s="7"/>
      <c r="B63" s="7"/>
      <c r="C63" s="5" t="s">
        <v>37</v>
      </c>
      <c r="D63" s="2">
        <v>44.1</v>
      </c>
      <c r="E63" s="2">
        <v>233</v>
      </c>
      <c r="F63" s="2">
        <v>7.333</v>
      </c>
      <c r="G63" s="2">
        <v>252.3</v>
      </c>
      <c r="H63" s="2">
        <v>136</v>
      </c>
      <c r="I63" s="2">
        <v>3.06</v>
      </c>
      <c r="J63" s="2">
        <v>1.26</v>
      </c>
      <c r="K63" s="2">
        <v>107</v>
      </c>
      <c r="L63" s="2">
        <v>7.8</v>
      </c>
      <c r="M63" s="2">
        <v>1.08</v>
      </c>
      <c r="N63" s="2">
        <v>49</v>
      </c>
      <c r="O63" s="2">
        <v>26.2</v>
      </c>
      <c r="P63" s="2">
        <v>99.5</v>
      </c>
      <c r="R63" s="2">
        <v>7.31</v>
      </c>
      <c r="S63" s="2">
        <v>45.3</v>
      </c>
      <c r="T63" s="2">
        <v>135.9</v>
      </c>
      <c r="U63" s="2">
        <v>2.96</v>
      </c>
      <c r="V63" s="2">
        <v>1.27</v>
      </c>
      <c r="W63" s="2">
        <v>107</v>
      </c>
      <c r="X63" s="2">
        <v>7.7</v>
      </c>
      <c r="Y63" s="2">
        <v>1.09</v>
      </c>
      <c r="Z63" s="2">
        <v>50</v>
      </c>
      <c r="AA63" s="2">
        <v>25.3</v>
      </c>
      <c r="AB63" s="2">
        <v>76.5</v>
      </c>
      <c r="AD63" s="2">
        <v>30</v>
      </c>
      <c r="AE63" s="2">
        <v>0.263</v>
      </c>
      <c r="AF63" s="2">
        <f t="shared" si="60"/>
        <v>0.0489564124740939</v>
      </c>
      <c r="AG63" s="2">
        <f t="shared" si="61"/>
        <v>2.31323738197425</v>
      </c>
      <c r="AH63" s="2">
        <f t="shared" si="62"/>
        <v>0.01</v>
      </c>
      <c r="AI63" s="2">
        <f t="shared" si="63"/>
        <v>7.3153</v>
      </c>
      <c r="AJ63" s="2">
        <f t="shared" si="64"/>
        <v>5.26593</v>
      </c>
      <c r="AK63" s="2">
        <v>1</v>
      </c>
      <c r="AL63" s="2">
        <f t="shared" si="65"/>
        <v>0.748894392999998</v>
      </c>
    </row>
    <row r="64" spans="1:38">
      <c r="A64" s="7"/>
      <c r="B64" s="7"/>
      <c r="C64" s="5" t="s">
        <v>38</v>
      </c>
      <c r="D64" s="2">
        <v>44.1</v>
      </c>
      <c r="E64" s="2">
        <v>233</v>
      </c>
      <c r="F64" s="2">
        <v>7.422</v>
      </c>
      <c r="G64" s="2">
        <v>255.9</v>
      </c>
      <c r="H64" s="2">
        <v>135</v>
      </c>
      <c r="I64" s="2">
        <v>2.62</v>
      </c>
      <c r="J64" s="2">
        <v>1.24</v>
      </c>
      <c r="K64" s="2">
        <v>107</v>
      </c>
      <c r="L64" s="2">
        <v>8.4</v>
      </c>
      <c r="M64" s="2">
        <v>1.34</v>
      </c>
      <c r="N64" s="2">
        <v>53</v>
      </c>
      <c r="O64" s="2">
        <v>25.6</v>
      </c>
      <c r="P64" s="2">
        <v>99.6</v>
      </c>
      <c r="R64" s="2">
        <v>7.405</v>
      </c>
      <c r="S64" s="2">
        <v>49.6</v>
      </c>
      <c r="T64" s="2">
        <v>135.1</v>
      </c>
      <c r="U64" s="2">
        <v>2.65</v>
      </c>
      <c r="V64" s="2">
        <v>1.24</v>
      </c>
      <c r="W64" s="2">
        <v>107</v>
      </c>
      <c r="X64" s="2">
        <v>8.5</v>
      </c>
      <c r="Y64" s="2">
        <v>1.29</v>
      </c>
      <c r="Z64" s="2">
        <v>52</v>
      </c>
      <c r="AA64" s="2">
        <v>25.8</v>
      </c>
      <c r="AB64" s="2">
        <v>85.2</v>
      </c>
      <c r="AD64" s="2">
        <v>33</v>
      </c>
      <c r="AE64" s="2">
        <v>0.371</v>
      </c>
      <c r="AF64" s="2">
        <f t="shared" si="60"/>
        <v>0.0381754450909848</v>
      </c>
      <c r="AG64" s="2">
        <f t="shared" si="61"/>
        <v>2.82849444635193</v>
      </c>
      <c r="AH64" s="2">
        <f t="shared" si="62"/>
        <v>-0.05</v>
      </c>
      <c r="AI64" s="2">
        <f t="shared" si="63"/>
        <v>7.866882</v>
      </c>
      <c r="AJ64" s="2">
        <f t="shared" si="64"/>
        <v>6.090496</v>
      </c>
      <c r="AK64" s="2">
        <v>1</v>
      </c>
      <c r="AL64" s="2">
        <f t="shared" si="65"/>
        <v>1.41743766199999</v>
      </c>
    </row>
    <row r="65" spans="1:38">
      <c r="A65" s="7"/>
      <c r="B65" s="7"/>
      <c r="C65" s="5" t="s">
        <v>39</v>
      </c>
      <c r="D65" s="2">
        <v>44.1</v>
      </c>
      <c r="E65" s="2">
        <v>233</v>
      </c>
      <c r="F65" s="2">
        <v>7.439</v>
      </c>
      <c r="G65" s="2">
        <v>237.3</v>
      </c>
      <c r="H65" s="2">
        <v>133</v>
      </c>
      <c r="I65" s="2">
        <v>2.64</v>
      </c>
      <c r="J65" s="2">
        <v>1.3</v>
      </c>
      <c r="K65" s="2">
        <v>106</v>
      </c>
      <c r="L65" s="2">
        <v>11.5</v>
      </c>
      <c r="M65" s="2">
        <v>0.85</v>
      </c>
      <c r="N65" s="2">
        <v>53</v>
      </c>
      <c r="O65" s="2">
        <v>24.7</v>
      </c>
      <c r="P65" s="2">
        <v>99.6</v>
      </c>
      <c r="R65" s="2">
        <v>7.407</v>
      </c>
      <c r="S65" s="2">
        <v>50</v>
      </c>
      <c r="T65" s="2">
        <v>133.5</v>
      </c>
      <c r="U65" s="2">
        <v>2.64</v>
      </c>
      <c r="V65" s="2">
        <v>0.23</v>
      </c>
      <c r="W65" s="2">
        <v>106</v>
      </c>
      <c r="X65" s="2">
        <v>11.3</v>
      </c>
      <c r="Y65" s="2">
        <v>0.79</v>
      </c>
      <c r="Z65" s="2">
        <v>51</v>
      </c>
      <c r="AA65" s="2">
        <v>26.3</v>
      </c>
      <c r="AB65" s="2">
        <v>85.6</v>
      </c>
      <c r="AD65" s="2">
        <v>37</v>
      </c>
      <c r="AE65" s="2">
        <v>0.398</v>
      </c>
      <c r="AF65" s="2">
        <f t="shared" si="60"/>
        <v>0.0398990661461815</v>
      </c>
      <c r="AG65" s="2">
        <f t="shared" si="61"/>
        <v>3.08205392274678</v>
      </c>
      <c r="AH65" s="2">
        <f t="shared" si="62"/>
        <v>-0.0599999999999999</v>
      </c>
      <c r="AI65" s="2">
        <f t="shared" si="63"/>
        <v>7.809222</v>
      </c>
      <c r="AJ65" s="2">
        <f t="shared" si="64"/>
        <v>6.004904</v>
      </c>
      <c r="AK65" s="2">
        <v>1</v>
      </c>
      <c r="AL65" s="2">
        <f t="shared" si="65"/>
        <v>0.815742218999997</v>
      </c>
    </row>
    <row r="66" s="1" customFormat="1" spans="1:38">
      <c r="A66" s="7"/>
      <c r="B66" s="7"/>
      <c r="C66" s="9" t="s">
        <v>40</v>
      </c>
      <c r="D66" s="2">
        <v>44.1</v>
      </c>
      <c r="E66" s="2">
        <v>233</v>
      </c>
      <c r="F66" s="1">
        <v>7.476</v>
      </c>
      <c r="G66" s="1">
        <v>251.4</v>
      </c>
      <c r="H66" s="1">
        <v>131.7</v>
      </c>
      <c r="I66" s="1">
        <v>3.26</v>
      </c>
      <c r="J66" s="1">
        <v>1.18</v>
      </c>
      <c r="K66" s="1">
        <v>105</v>
      </c>
      <c r="L66" s="1">
        <v>13.5</v>
      </c>
      <c r="M66" s="1">
        <v>0.66</v>
      </c>
      <c r="N66" s="1">
        <v>52</v>
      </c>
      <c r="O66" s="1">
        <v>24.6</v>
      </c>
      <c r="P66" s="1">
        <v>99.6</v>
      </c>
      <c r="R66" s="1">
        <v>7.457</v>
      </c>
      <c r="S66" s="1">
        <v>49.2</v>
      </c>
      <c r="T66" s="1">
        <v>131.3</v>
      </c>
      <c r="U66" s="1">
        <v>3.22</v>
      </c>
      <c r="V66" s="1">
        <v>1.18</v>
      </c>
      <c r="W66" s="1">
        <v>106</v>
      </c>
      <c r="X66" s="1">
        <v>13.3</v>
      </c>
      <c r="Y66" s="1">
        <v>0.67</v>
      </c>
      <c r="Z66" s="1">
        <v>53</v>
      </c>
      <c r="AA66" s="1">
        <v>24.1</v>
      </c>
      <c r="AB66" s="1">
        <v>87.1</v>
      </c>
      <c r="AD66" s="1">
        <v>35</v>
      </c>
      <c r="AE66" s="1">
        <v>0.42</v>
      </c>
      <c r="AF66" s="2">
        <f t="shared" si="60"/>
        <v>0.0357653791130186</v>
      </c>
      <c r="AG66" s="2">
        <f t="shared" si="61"/>
        <v>2.48954729613734</v>
      </c>
      <c r="AH66" s="2">
        <f t="shared" si="62"/>
        <v>0.01</v>
      </c>
      <c r="AI66" s="2">
        <f t="shared" si="63"/>
        <v>7.719468</v>
      </c>
      <c r="AJ66" s="2">
        <f t="shared" si="64"/>
        <v>6.338362</v>
      </c>
      <c r="AK66" s="1">
        <v>1</v>
      </c>
      <c r="AL66" s="2">
        <f t="shared" si="65"/>
        <v>1.232459196</v>
      </c>
    </row>
    <row r="67" spans="1:38">
      <c r="A67" s="4">
        <v>14</v>
      </c>
      <c r="B67" s="4" t="s">
        <v>53</v>
      </c>
      <c r="C67" s="5" t="s">
        <v>36</v>
      </c>
      <c r="D67" s="2">
        <v>43</v>
      </c>
      <c r="E67" s="2">
        <f t="shared" ref="E67:E71" si="66">412-130</f>
        <v>282</v>
      </c>
      <c r="F67" s="2">
        <v>7.356</v>
      </c>
      <c r="G67" s="2">
        <v>209.3</v>
      </c>
      <c r="H67" s="2">
        <v>135.3</v>
      </c>
      <c r="I67" s="2">
        <v>4.2</v>
      </c>
      <c r="J67" s="2">
        <v>1.34</v>
      </c>
      <c r="K67" s="2">
        <v>116</v>
      </c>
      <c r="L67" s="2">
        <v>6.7</v>
      </c>
      <c r="M67" s="2">
        <v>0.95</v>
      </c>
      <c r="N67" s="2">
        <v>36</v>
      </c>
      <c r="O67" s="2">
        <v>20.7</v>
      </c>
      <c r="P67" s="2">
        <v>99.4</v>
      </c>
      <c r="Q67" s="2">
        <v>11</v>
      </c>
      <c r="R67" s="2">
        <v>7.347</v>
      </c>
      <c r="S67" s="2">
        <v>73.7</v>
      </c>
      <c r="T67" s="2">
        <v>135.3</v>
      </c>
      <c r="U67" s="2">
        <v>4.11</v>
      </c>
      <c r="V67" s="2">
        <v>0.76</v>
      </c>
      <c r="W67" s="2">
        <v>114</v>
      </c>
      <c r="X67" s="2">
        <v>6.7</v>
      </c>
      <c r="Y67" s="2">
        <v>1</v>
      </c>
      <c r="Z67" s="2">
        <v>37</v>
      </c>
      <c r="AA67" s="2">
        <v>21</v>
      </c>
      <c r="AB67" s="2">
        <v>94.2</v>
      </c>
      <c r="AC67" s="2">
        <v>11</v>
      </c>
      <c r="AD67" s="2">
        <v>30</v>
      </c>
      <c r="AE67" s="2">
        <v>0.514</v>
      </c>
      <c r="AF67" s="2">
        <f t="shared" ref="AF67:AF71" si="67">AD67/AE67/1000/E67*100</f>
        <v>0.0206970775726467</v>
      </c>
      <c r="AG67" s="2">
        <f t="shared" ref="AG67:AG71" si="68">AE67*1000*((1.34*N67/10*P67/100+0.0031*G67)-(1.34*Z67/10*AB67/100+0.0031*S67))/(E67/100)/100</f>
        <v>0.993332340425532</v>
      </c>
      <c r="AH67" s="2">
        <f t="shared" ref="AH67:AH71" si="69">Y67-M67</f>
        <v>0.05</v>
      </c>
      <c r="AI67" s="2">
        <f t="shared" ref="AI67:AI71" si="70">(1.34*N67/10*P67/100+0.0031*G67)</f>
        <v>5.443886</v>
      </c>
      <c r="AJ67" s="2">
        <f t="shared" ref="AJ67:AJ71" si="71">(1.34*Z67/10*AB67/100+0.0031*S67)</f>
        <v>4.898906</v>
      </c>
      <c r="AK67" s="2">
        <v>1</v>
      </c>
      <c r="AL67" s="2">
        <f t="shared" ref="AL67:AL71" si="72">0.9287*(O67-24.4+14.83*(F67-7.4))</f>
        <v>-4.04218532400001</v>
      </c>
    </row>
    <row r="68" spans="1:38">
      <c r="A68" s="7"/>
      <c r="B68" s="7"/>
      <c r="C68" s="5" t="s">
        <v>37</v>
      </c>
      <c r="D68" s="2">
        <v>43</v>
      </c>
      <c r="E68" s="2">
        <f t="shared" si="66"/>
        <v>282</v>
      </c>
      <c r="F68" s="2">
        <v>7.306</v>
      </c>
      <c r="G68" s="2">
        <v>237.6</v>
      </c>
      <c r="H68" s="2">
        <v>135.8</v>
      </c>
      <c r="I68" s="2">
        <v>3.69</v>
      </c>
      <c r="J68" s="2">
        <v>1.17</v>
      </c>
      <c r="K68" s="2">
        <v>115</v>
      </c>
      <c r="L68" s="2">
        <v>6.6</v>
      </c>
      <c r="M68" s="2">
        <v>1.52</v>
      </c>
      <c r="N68" s="2">
        <v>37</v>
      </c>
      <c r="O68" s="2">
        <v>20.4</v>
      </c>
      <c r="P68" s="2">
        <v>99.5</v>
      </c>
      <c r="Q68" s="2">
        <v>11</v>
      </c>
      <c r="R68" s="2">
        <v>7.284</v>
      </c>
      <c r="S68" s="2">
        <v>55</v>
      </c>
      <c r="T68" s="2">
        <v>135.6</v>
      </c>
      <c r="U68" s="2">
        <v>3.65</v>
      </c>
      <c r="V68" s="2">
        <v>1.18</v>
      </c>
      <c r="W68" s="2">
        <v>115</v>
      </c>
      <c r="X68" s="2">
        <v>6.5</v>
      </c>
      <c r="Y68" s="2">
        <v>1.59</v>
      </c>
      <c r="Z68" s="2">
        <v>38</v>
      </c>
      <c r="AA68" s="2">
        <v>20.7</v>
      </c>
      <c r="AB68" s="2">
        <v>84.8</v>
      </c>
      <c r="AC68" s="2">
        <v>11</v>
      </c>
      <c r="AD68" s="2">
        <v>30</v>
      </c>
      <c r="AE68" s="2">
        <v>0.596</v>
      </c>
      <c r="AF68" s="2">
        <f t="shared" si="67"/>
        <v>0.0178494930743967</v>
      </c>
      <c r="AG68" s="2">
        <f t="shared" si="68"/>
        <v>2.4965510070922</v>
      </c>
      <c r="AH68" s="2">
        <f t="shared" si="69"/>
        <v>0.0700000000000001</v>
      </c>
      <c r="AI68" s="2">
        <f t="shared" si="70"/>
        <v>5.66977</v>
      </c>
      <c r="AJ68" s="2">
        <f t="shared" si="71"/>
        <v>4.488516</v>
      </c>
      <c r="AK68" s="2">
        <v>1</v>
      </c>
      <c r="AL68" s="2">
        <f t="shared" si="72"/>
        <v>-5.009426374</v>
      </c>
    </row>
    <row r="69" spans="1:38">
      <c r="A69" s="7"/>
      <c r="B69" s="7"/>
      <c r="C69" s="5" t="s">
        <v>38</v>
      </c>
      <c r="D69" s="2">
        <v>43</v>
      </c>
      <c r="E69" s="2">
        <f t="shared" si="66"/>
        <v>282</v>
      </c>
      <c r="F69" s="2">
        <v>7.305</v>
      </c>
      <c r="G69" s="2">
        <v>232.7</v>
      </c>
      <c r="H69" s="2">
        <v>136</v>
      </c>
      <c r="I69" s="2">
        <v>3.41</v>
      </c>
      <c r="J69" s="2">
        <v>1.17</v>
      </c>
      <c r="K69" s="2">
        <v>115</v>
      </c>
      <c r="L69" s="2">
        <v>6.4</v>
      </c>
      <c r="M69" s="2">
        <v>2.12</v>
      </c>
      <c r="N69" s="2">
        <v>40</v>
      </c>
      <c r="O69" s="2">
        <v>20</v>
      </c>
      <c r="P69" s="2">
        <v>99.4</v>
      </c>
      <c r="Q69" s="2">
        <v>12</v>
      </c>
      <c r="R69" s="2">
        <v>7.284</v>
      </c>
      <c r="S69" s="2">
        <v>51</v>
      </c>
      <c r="T69" s="2">
        <v>136</v>
      </c>
      <c r="U69" s="2">
        <v>3.41</v>
      </c>
      <c r="V69" s="2">
        <v>1.19</v>
      </c>
      <c r="W69" s="2">
        <v>115</v>
      </c>
      <c r="X69" s="2">
        <v>6.3</v>
      </c>
      <c r="Y69" s="2">
        <v>2.07</v>
      </c>
      <c r="Z69" s="2">
        <v>39</v>
      </c>
      <c r="AA69" s="2">
        <v>20</v>
      </c>
      <c r="AB69" s="2">
        <v>81.7</v>
      </c>
      <c r="AC69" s="2">
        <v>11</v>
      </c>
      <c r="AD69" s="2">
        <v>30</v>
      </c>
      <c r="AE69" s="2">
        <v>0.543</v>
      </c>
      <c r="AF69" s="2">
        <f t="shared" si="67"/>
        <v>0.0195917087888406</v>
      </c>
      <c r="AG69" s="2">
        <f t="shared" si="68"/>
        <v>3.12218838297872</v>
      </c>
      <c r="AH69" s="2">
        <f t="shared" si="69"/>
        <v>-0.0500000000000003</v>
      </c>
      <c r="AI69" s="2">
        <f t="shared" si="70"/>
        <v>6.04921</v>
      </c>
      <c r="AJ69" s="2">
        <f t="shared" si="71"/>
        <v>4.427742</v>
      </c>
      <c r="AK69" s="2">
        <v>1</v>
      </c>
      <c r="AL69" s="2">
        <f t="shared" si="72"/>
        <v>-5.39467899500001</v>
      </c>
    </row>
    <row r="70" spans="1:38">
      <c r="A70" s="7"/>
      <c r="B70" s="7"/>
      <c r="C70" s="5" t="s">
        <v>39</v>
      </c>
      <c r="D70" s="2">
        <v>43</v>
      </c>
      <c r="E70" s="2">
        <f t="shared" si="66"/>
        <v>282</v>
      </c>
      <c r="F70" s="2">
        <v>7.345</v>
      </c>
      <c r="G70" s="2">
        <v>237.6</v>
      </c>
      <c r="H70" s="2">
        <v>136.6</v>
      </c>
      <c r="I70" s="2">
        <v>3.36</v>
      </c>
      <c r="J70" s="2">
        <v>1.14</v>
      </c>
      <c r="K70" s="2">
        <v>116</v>
      </c>
      <c r="L70" s="2">
        <v>6.5</v>
      </c>
      <c r="M70" s="2">
        <v>2.16</v>
      </c>
      <c r="N70" s="2">
        <v>41</v>
      </c>
      <c r="O70" s="2">
        <v>19.8</v>
      </c>
      <c r="P70" s="2">
        <v>99.5</v>
      </c>
      <c r="Q70" s="2">
        <v>12</v>
      </c>
      <c r="R70" s="2">
        <v>7.322</v>
      </c>
      <c r="S70" s="2">
        <v>51.7</v>
      </c>
      <c r="T70" s="2">
        <v>136.6</v>
      </c>
      <c r="U70" s="2">
        <v>3.36</v>
      </c>
      <c r="V70" s="2">
        <v>1.15</v>
      </c>
      <c r="W70" s="2">
        <v>116</v>
      </c>
      <c r="X70" s="2">
        <v>6.6</v>
      </c>
      <c r="Y70" s="2">
        <v>2.18</v>
      </c>
      <c r="Z70" s="2">
        <v>40</v>
      </c>
      <c r="AA70" s="2">
        <v>20</v>
      </c>
      <c r="AB70" s="2">
        <v>84</v>
      </c>
      <c r="AC70" s="2">
        <v>12</v>
      </c>
      <c r="AD70" s="2">
        <v>30</v>
      </c>
      <c r="AE70" s="2">
        <v>0.55</v>
      </c>
      <c r="AF70" s="2">
        <f t="shared" si="67"/>
        <v>0.0193423597678917</v>
      </c>
      <c r="AG70" s="2">
        <f t="shared" si="68"/>
        <v>3.00436524822695</v>
      </c>
      <c r="AH70" s="2">
        <f t="shared" si="69"/>
        <v>0.02</v>
      </c>
      <c r="AI70" s="2">
        <f t="shared" si="70"/>
        <v>6.20309</v>
      </c>
      <c r="AJ70" s="2">
        <f t="shared" si="71"/>
        <v>4.66267</v>
      </c>
      <c r="AK70" s="2">
        <v>1</v>
      </c>
      <c r="AL70" s="2">
        <f t="shared" si="72"/>
        <v>-5.02951415500001</v>
      </c>
    </row>
    <row r="71" s="1" customFormat="1" spans="1:38">
      <c r="A71" s="7"/>
      <c r="B71" s="7"/>
      <c r="C71" s="9" t="s">
        <v>40</v>
      </c>
      <c r="D71" s="2">
        <v>43</v>
      </c>
      <c r="E71" s="2">
        <f t="shared" si="66"/>
        <v>282</v>
      </c>
      <c r="F71" s="1">
        <v>7.309</v>
      </c>
      <c r="G71" s="1">
        <v>203.3</v>
      </c>
      <c r="H71" s="1">
        <v>136.2</v>
      </c>
      <c r="I71" s="1">
        <v>3.76</v>
      </c>
      <c r="J71" s="1">
        <v>1.28</v>
      </c>
      <c r="K71" s="1">
        <v>116</v>
      </c>
      <c r="L71" s="1">
        <v>6.5</v>
      </c>
      <c r="M71" s="1">
        <v>0.77</v>
      </c>
      <c r="N71" s="1">
        <v>42</v>
      </c>
      <c r="O71" s="1">
        <v>20.3</v>
      </c>
      <c r="P71" s="1">
        <v>99.3</v>
      </c>
      <c r="Q71" s="1">
        <v>12</v>
      </c>
      <c r="R71" s="1">
        <v>7.285</v>
      </c>
      <c r="S71" s="1">
        <v>66.3</v>
      </c>
      <c r="T71" s="1">
        <v>136.6</v>
      </c>
      <c r="U71" s="1">
        <v>3.76</v>
      </c>
      <c r="V71" s="1">
        <v>1.27</v>
      </c>
      <c r="W71" s="1">
        <v>117</v>
      </c>
      <c r="X71" s="1">
        <v>6.6</v>
      </c>
      <c r="Y71" s="1">
        <v>0.86</v>
      </c>
      <c r="Z71" s="1">
        <v>42</v>
      </c>
      <c r="AA71" s="1">
        <v>21.4</v>
      </c>
      <c r="AB71" s="1">
        <v>90.7</v>
      </c>
      <c r="AC71" s="1">
        <v>12</v>
      </c>
      <c r="AD71" s="1">
        <v>34</v>
      </c>
      <c r="AE71" s="1">
        <v>0.534</v>
      </c>
      <c r="AF71" s="2">
        <f t="shared" si="67"/>
        <v>0.0225781602783754</v>
      </c>
      <c r="AG71" s="2">
        <f t="shared" si="68"/>
        <v>1.72074493617021</v>
      </c>
      <c r="AH71" s="2">
        <f t="shared" si="69"/>
        <v>0.09</v>
      </c>
      <c r="AI71" s="2">
        <f t="shared" si="70"/>
        <v>6.218834</v>
      </c>
      <c r="AJ71" s="2">
        <f t="shared" si="71"/>
        <v>5.310126</v>
      </c>
      <c r="AK71" s="1">
        <v>1</v>
      </c>
      <c r="AL71" s="2">
        <f t="shared" si="72"/>
        <v>-5.060978511</v>
      </c>
    </row>
    <row r="72" spans="1:38">
      <c r="A72" s="4">
        <v>15</v>
      </c>
      <c r="B72" s="4" t="s">
        <v>54</v>
      </c>
      <c r="C72" s="5" t="s">
        <v>36</v>
      </c>
      <c r="D72" s="2">
        <v>37.5</v>
      </c>
      <c r="E72" s="2">
        <v>201</v>
      </c>
      <c r="F72" s="2">
        <v>7.411</v>
      </c>
      <c r="G72" s="2">
        <v>337.1</v>
      </c>
      <c r="H72" s="2">
        <v>132.9</v>
      </c>
      <c r="I72" s="2">
        <v>5.44</v>
      </c>
      <c r="J72" s="2">
        <v>1.32</v>
      </c>
      <c r="K72" s="2">
        <v>113</v>
      </c>
      <c r="M72" s="2">
        <v>3.8</v>
      </c>
      <c r="N72" s="2">
        <v>43</v>
      </c>
      <c r="O72" s="2">
        <v>18.6</v>
      </c>
      <c r="P72" s="2">
        <v>99.8</v>
      </c>
      <c r="R72" s="2">
        <v>7.373</v>
      </c>
      <c r="S72" s="2">
        <v>48.4</v>
      </c>
      <c r="T72" s="2">
        <v>133</v>
      </c>
      <c r="U72" s="2">
        <v>5.38</v>
      </c>
      <c r="V72" s="2">
        <v>1.26</v>
      </c>
      <c r="W72" s="2">
        <v>111</v>
      </c>
      <c r="Y72" s="2">
        <v>3.5</v>
      </c>
      <c r="Z72" s="2">
        <v>43</v>
      </c>
      <c r="AA72" s="2">
        <v>17.2</v>
      </c>
      <c r="AB72" s="2">
        <v>83.9</v>
      </c>
      <c r="AD72" s="2">
        <v>45</v>
      </c>
      <c r="AE72" s="2">
        <v>0.265</v>
      </c>
      <c r="AF72" s="2">
        <f t="shared" ref="AF72:AF76" si="73">AD72/AE72/1000/E72*100</f>
        <v>0.0844832441565756</v>
      </c>
      <c r="AG72" s="2">
        <f t="shared" ref="AG72:AG76" si="74">AE72*1000*((1.34*O72/10*Q72/100+0.0031*H72)-(1.34*Z72/10*AB72/100+0.0031*S72))/(E72/100)/100</f>
        <v>-6.0282463681592</v>
      </c>
      <c r="AH72" s="2">
        <f t="shared" ref="AH72:AH76" si="75">Y72-N72</f>
        <v>-39.5</v>
      </c>
      <c r="AI72" s="2">
        <f t="shared" ref="AI72:AI76" si="76">(1.34*N72/10*P72/100+0.0031*G72)</f>
        <v>6.795486</v>
      </c>
      <c r="AJ72" s="2">
        <f t="shared" ref="AJ72:AJ76" si="77">(1.34*Z72/10*AB72/100+0.0031*S72)</f>
        <v>4.984358</v>
      </c>
      <c r="AK72" s="2">
        <v>1</v>
      </c>
      <c r="AL72" s="2">
        <f t="shared" ref="AL72:AL76" si="78">0.9287*(O72-24.4+14.83*(F72-7.4))</f>
        <v>-5.23496116900001</v>
      </c>
    </row>
    <row r="73" spans="1:38">
      <c r="A73" s="7"/>
      <c r="B73" s="7"/>
      <c r="C73" s="5" t="s">
        <v>37</v>
      </c>
      <c r="D73" s="2">
        <v>37.5</v>
      </c>
      <c r="E73" s="2">
        <v>201</v>
      </c>
      <c r="F73" s="2">
        <v>7.39</v>
      </c>
      <c r="G73" s="2">
        <v>262</v>
      </c>
      <c r="H73" s="2">
        <v>132.6</v>
      </c>
      <c r="I73" s="2">
        <v>5.4</v>
      </c>
      <c r="J73" s="2">
        <v>1.27</v>
      </c>
      <c r="K73" s="2">
        <v>111</v>
      </c>
      <c r="M73" s="2">
        <v>3.76</v>
      </c>
      <c r="N73" s="2">
        <v>45</v>
      </c>
      <c r="O73" s="2">
        <v>17.3</v>
      </c>
      <c r="P73" s="2">
        <v>99.6</v>
      </c>
      <c r="R73" s="2">
        <v>7.356</v>
      </c>
      <c r="S73" s="2">
        <v>41.9</v>
      </c>
      <c r="T73" s="2">
        <v>133.1</v>
      </c>
      <c r="U73" s="2">
        <v>5.42</v>
      </c>
      <c r="V73" s="2">
        <v>1.27</v>
      </c>
      <c r="W73" s="2">
        <v>111</v>
      </c>
      <c r="Y73" s="2">
        <v>3.87</v>
      </c>
      <c r="Z73" s="2">
        <v>45</v>
      </c>
      <c r="AA73" s="2">
        <v>17.9</v>
      </c>
      <c r="AB73" s="2">
        <v>76.1</v>
      </c>
      <c r="AD73" s="2">
        <v>46</v>
      </c>
      <c r="AE73" s="2">
        <v>0.277</v>
      </c>
      <c r="AF73" s="2">
        <f t="shared" si="73"/>
        <v>0.0826193940047057</v>
      </c>
      <c r="AG73" s="2">
        <f t="shared" si="74"/>
        <v>-5.93642696517413</v>
      </c>
      <c r="AH73" s="2">
        <f t="shared" si="75"/>
        <v>-41.13</v>
      </c>
      <c r="AI73" s="2">
        <f t="shared" si="76"/>
        <v>6.81808</v>
      </c>
      <c r="AJ73" s="2">
        <f t="shared" si="77"/>
        <v>4.71872</v>
      </c>
      <c r="AK73" s="2">
        <v>1</v>
      </c>
      <c r="AL73" s="2">
        <f t="shared" si="78"/>
        <v>-6.73149621000001</v>
      </c>
    </row>
    <row r="74" spans="1:38">
      <c r="A74" s="7"/>
      <c r="B74" s="7"/>
      <c r="C74" s="5" t="s">
        <v>38</v>
      </c>
      <c r="D74" s="2">
        <v>37.5</v>
      </c>
      <c r="E74" s="2">
        <v>201</v>
      </c>
      <c r="F74" s="2">
        <v>7.3</v>
      </c>
      <c r="G74" s="2">
        <v>242</v>
      </c>
      <c r="H74" s="2">
        <v>132.7</v>
      </c>
      <c r="I74" s="2">
        <v>5.24</v>
      </c>
      <c r="J74" s="2">
        <v>1.23</v>
      </c>
      <c r="K74" s="2">
        <v>110</v>
      </c>
      <c r="M74" s="2">
        <v>4.37</v>
      </c>
      <c r="N74" s="2">
        <v>46</v>
      </c>
      <c r="O74" s="2">
        <v>19.2</v>
      </c>
      <c r="P74" s="2">
        <v>99.5</v>
      </c>
      <c r="R74" s="2">
        <v>7.277</v>
      </c>
      <c r="S74" s="2">
        <v>63.3</v>
      </c>
      <c r="T74" s="2">
        <v>132.8</v>
      </c>
      <c r="U74" s="2">
        <v>5.26</v>
      </c>
      <c r="V74" s="2">
        <v>1.24</v>
      </c>
      <c r="W74" s="2">
        <v>110</v>
      </c>
      <c r="Y74" s="2">
        <v>4.32</v>
      </c>
      <c r="Z74" s="2">
        <v>45</v>
      </c>
      <c r="AA74" s="2">
        <v>19.2</v>
      </c>
      <c r="AB74" s="2">
        <v>89.4</v>
      </c>
      <c r="AD74" s="2">
        <v>50</v>
      </c>
      <c r="AE74" s="2">
        <v>0.351</v>
      </c>
      <c r="AF74" s="2">
        <f t="shared" si="73"/>
        <v>0.0708707176368868</v>
      </c>
      <c r="AG74" s="2">
        <f t="shared" si="74"/>
        <v>-9.03812776119403</v>
      </c>
      <c r="AH74" s="2">
        <f t="shared" si="75"/>
        <v>-41.68</v>
      </c>
      <c r="AI74" s="2">
        <f t="shared" si="76"/>
        <v>6.88338</v>
      </c>
      <c r="AJ74" s="2">
        <f t="shared" si="77"/>
        <v>5.58705</v>
      </c>
      <c r="AK74" s="2">
        <v>1</v>
      </c>
      <c r="AL74" s="2">
        <f t="shared" si="78"/>
        <v>-6.20650210000001</v>
      </c>
    </row>
    <row r="75" spans="1:38">
      <c r="A75" s="7"/>
      <c r="B75" s="7"/>
      <c r="C75" s="5" t="s">
        <v>39</v>
      </c>
      <c r="D75" s="2">
        <v>37.5</v>
      </c>
      <c r="E75" s="2">
        <v>201</v>
      </c>
      <c r="F75" s="2">
        <v>7.365</v>
      </c>
      <c r="G75" s="2">
        <v>233</v>
      </c>
      <c r="H75" s="2">
        <v>132</v>
      </c>
      <c r="I75" s="2">
        <v>5.3</v>
      </c>
      <c r="J75" s="2">
        <v>1.21</v>
      </c>
      <c r="K75" s="2">
        <v>110</v>
      </c>
      <c r="M75" s="2">
        <v>5.28</v>
      </c>
      <c r="N75" s="2">
        <v>46</v>
      </c>
      <c r="O75" s="2">
        <v>18.1</v>
      </c>
      <c r="P75" s="2">
        <v>99.5</v>
      </c>
      <c r="R75" s="2">
        <v>7.335</v>
      </c>
      <c r="S75" s="2">
        <v>54.6</v>
      </c>
      <c r="T75" s="2">
        <v>132.7</v>
      </c>
      <c r="U75" s="2">
        <v>5.31</v>
      </c>
      <c r="V75" s="2">
        <v>1.27</v>
      </c>
      <c r="W75" s="2">
        <v>110</v>
      </c>
      <c r="Y75" s="2">
        <v>4.65</v>
      </c>
      <c r="Z75" s="2">
        <v>45</v>
      </c>
      <c r="AA75" s="2">
        <v>18</v>
      </c>
      <c r="AB75" s="2">
        <v>86.8</v>
      </c>
      <c r="AD75" s="2">
        <v>50</v>
      </c>
      <c r="AE75" s="2">
        <v>0.4</v>
      </c>
      <c r="AF75" s="2">
        <f t="shared" si="73"/>
        <v>0.0621890547263682</v>
      </c>
      <c r="AG75" s="2">
        <f t="shared" si="74"/>
        <v>-9.93850746268657</v>
      </c>
      <c r="AH75" s="2">
        <f t="shared" si="75"/>
        <v>-41.35</v>
      </c>
      <c r="AI75" s="2">
        <f t="shared" si="76"/>
        <v>6.85548</v>
      </c>
      <c r="AJ75" s="2">
        <f t="shared" si="77"/>
        <v>5.4033</v>
      </c>
      <c r="AK75" s="2">
        <v>1</v>
      </c>
      <c r="AL75" s="2">
        <f t="shared" si="78"/>
        <v>-6.332851735</v>
      </c>
    </row>
    <row r="76" s="1" customFormat="1" spans="1:38">
      <c r="A76" s="7"/>
      <c r="B76" s="7"/>
      <c r="C76" s="9" t="s">
        <v>40</v>
      </c>
      <c r="D76" s="2">
        <v>37.5</v>
      </c>
      <c r="E76" s="1">
        <v>201</v>
      </c>
      <c r="AD76" s="1">
        <v>44</v>
      </c>
      <c r="AE76" s="1">
        <v>0.283</v>
      </c>
      <c r="AF76" s="2">
        <f t="shared" si="73"/>
        <v>0.0773517571154827</v>
      </c>
      <c r="AG76" s="2">
        <f t="shared" si="74"/>
        <v>0</v>
      </c>
      <c r="AH76" s="2">
        <f t="shared" si="75"/>
        <v>0</v>
      </c>
      <c r="AI76" s="2">
        <f t="shared" si="76"/>
        <v>0</v>
      </c>
      <c r="AJ76" s="2">
        <f t="shared" si="77"/>
        <v>0</v>
      </c>
      <c r="AK76" s="1">
        <v>1</v>
      </c>
      <c r="AL76" s="2">
        <f t="shared" si="78"/>
        <v>-124.5776754</v>
      </c>
    </row>
  </sheetData>
  <mergeCells count="30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xlm</dc:creator>
  <cp:lastModifiedBy>CHX</cp:lastModifiedBy>
  <dcterms:created xsi:type="dcterms:W3CDTF">2015-06-05T18:17:00Z</dcterms:created>
  <dcterms:modified xsi:type="dcterms:W3CDTF">2025-10-19T07:42:31Z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8ED6487EE79241FD8A7824CA670FEC80_13</vt:lpwstr>
  </property>
  <property fmtid="{D5CDD505-2E9C-101B-9397-08002B2CF9AE}" pid="3" name="KSOProductBuildVer">
    <vt:lpwstr>2052-12.1.0.23125</vt:lpwstr>
  </property>
</Properties>
</file>